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ticipante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uestionario" sheetId="4" state="visible" r:id="rId4"/>
    <sheet xmlns:r="http://schemas.openxmlformats.org/officeDocument/2006/relationships" name="SU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Prueba de usabilidad — registro (ver wiki/investigacion/prueba-usabilidad-guion.md)</t>
        </is>
      </c>
    </row>
    <row r="3">
      <c r="A3" t="inlineStr">
        <is>
          <t>Una fila por participante (P1, P2, …) en cada hoja. Completá solo las celdas blancas.</t>
        </is>
      </c>
    </row>
    <row r="4">
      <c r="A4" t="inlineStr">
        <is>
          <t>SUS: cargá el número marcado (1 a 5). El puntaje y el resumen se calculan solos.</t>
        </is>
      </c>
    </row>
    <row r="5">
      <c r="A5" t="inlineStr">
        <is>
          <t>Tareas: en 'Resultado' elegí de la lista: sin ayuda / con ayuda / no completada.</t>
        </is>
      </c>
    </row>
    <row r="6">
      <c r="A6" t="inlineStr">
        <is>
          <t>Al terminar, mandá este archivo, las fotos y listo. Si sobra alguna fila Pn, dejala vacía.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22" customWidth="1" min="5" max="5"/>
    <col width="20" customWidth="1" min="6" max="6"/>
    <col width="18" customWidth="1" min="7" max="7"/>
    <col width="14" customWidth="1" min="8" max="8"/>
    <col width="40" customWidth="1" min="9" max="9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Lugar</t>
        </is>
      </c>
      <c r="D1" s="2" t="inlineStr">
        <is>
          <t>Rango de edad</t>
        </is>
      </c>
      <c r="E1" s="2" t="inlineStr">
        <is>
          <t>Ocupación</t>
        </is>
      </c>
      <c r="F1" s="2" t="inlineStr">
        <is>
          <t>Frecuencia de uso de X</t>
        </is>
      </c>
      <c r="G1" s="2" t="inlineStr">
        <is>
          <t>Cuenta usada (propia / prueba)</t>
        </is>
      </c>
      <c r="H1" s="2" t="inlineStr">
        <is>
          <t>Acepta fotos (sí / no)</t>
        </is>
      </c>
      <c r="I1" s="2" t="inlineStr">
        <is>
          <t>Notas</t>
        </is>
      </c>
    </row>
    <row r="2">
      <c r="A2" t="inlineStr">
        <is>
          <t>P1</t>
        </is>
      </c>
      <c r="B2" s="5" t="n">
        <v>46311</v>
      </c>
      <c r="C2" t="inlineStr">
        <is>
          <t>Belgrano, CABA</t>
        </is>
      </c>
      <c r="D2" t="inlineStr">
        <is>
          <t>25-34</t>
        </is>
      </c>
      <c r="E2" t="inlineStr">
        <is>
          <t>Comerciante</t>
        </is>
      </c>
      <c r="F2" t="inlineStr">
        <is>
          <t>Diaria</t>
        </is>
      </c>
      <c r="G2" t="inlineStr">
        <is>
          <t>propia</t>
        </is>
      </c>
      <c r="I2" t="inlineStr">
        <is>
          <t>Usa X en el celular y en la computadora. SUS respondido en escala 1-10 y convertido a 1-5 (originales: 8,3,8,1,9,3,9,4,8,3).</t>
        </is>
      </c>
    </row>
    <row r="3">
      <c r="A3" t="inlineStr">
        <is>
          <t>P2</t>
        </is>
      </c>
      <c r="B3" s="5" t="n">
        <v>46311</v>
      </c>
      <c r="C3" t="inlineStr">
        <is>
          <t>Salta</t>
        </is>
      </c>
      <c r="D3" t="inlineStr">
        <is>
          <t>45-54</t>
        </is>
      </c>
      <c r="E3" t="inlineStr">
        <is>
          <t>Odontóloga</t>
        </is>
      </c>
      <c r="F3" t="inlineStr">
        <is>
          <t>Semanal</t>
        </is>
      </c>
      <c r="G3" t="inlineStr">
        <is>
          <t>propia</t>
        </is>
      </c>
      <c r="I3" t="inlineStr">
        <is>
          <t>Solo usa X en el celular. SUS respondido en escala 1-10 y convertido a 1-5 (originales: 9,2,7,7,7,1,8,1,7,9).</t>
        </is>
      </c>
    </row>
    <row r="4">
      <c r="A4" t="inlineStr">
        <is>
          <t>P3</t>
        </is>
      </c>
      <c r="B4" s="5" t="n">
        <v>46310</v>
      </c>
      <c r="C4" t="inlineStr">
        <is>
          <t>Salta</t>
        </is>
      </c>
      <c r="D4" t="inlineStr">
        <is>
          <t>55-64</t>
        </is>
      </c>
      <c r="E4" t="inlineStr">
        <is>
          <t>Comerciante</t>
        </is>
      </c>
      <c r="F4" t="inlineStr">
        <is>
          <t>Mensual</t>
        </is>
      </c>
      <c r="G4" t="inlineStr">
        <is>
          <t>prueba</t>
        </is>
      </c>
      <c r="I4" t="inlineStr">
        <is>
          <t>Casi no usa X (aprox. una vez al mes); usó una cuenta de prueba prestada. SUS respondido en escala 1-10 y convertido a 1-5 (originales: 7,3,8,7,8,3,9,3,9,10).</t>
        </is>
      </c>
    </row>
    <row r="5">
      <c r="A5" t="inlineStr">
        <is>
          <t>P4</t>
        </is>
      </c>
    </row>
    <row r="6">
      <c r="A6" t="inlineStr">
        <is>
          <t>P5</t>
        </is>
      </c>
    </row>
    <row r="7">
      <c r="A7" t="inlineStr">
        <is>
          <t>P6</t>
        </is>
      </c>
    </row>
    <row r="8">
      <c r="A8" t="inlineStr">
        <is>
          <t>P7</t>
        </is>
      </c>
    </row>
    <row r="9">
      <c r="A9" t="inlineStr">
        <is>
          <t>P8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0" customWidth="1" min="4" max="4"/>
    <col width="14" customWidth="1" min="5" max="5"/>
    <col width="10" customWidth="1" min="6" max="6"/>
    <col width="40" customWidth="1" min="7" max="7"/>
    <col width="14" customWidth="1" min="8" max="8"/>
    <col width="10" customWidth="1" min="9" max="9"/>
    <col width="40" customWidth="1" min="10" max="10"/>
  </cols>
  <sheetData>
    <row r="1">
      <c r="A1" s="2" t="inlineStr">
        <is>
          <t>ID</t>
        </is>
      </c>
      <c r="B1" s="2" t="inlineStr">
        <is>
          <t>T1 resultado</t>
        </is>
      </c>
      <c r="C1" s="2" t="inlineStr">
        <is>
          <t>T1 tiempo (min)</t>
        </is>
      </c>
      <c r="D1" s="2" t="inlineStr">
        <is>
          <t>T1 dudas en voz alta / observaciones</t>
        </is>
      </c>
      <c r="E1" s="2" t="inlineStr">
        <is>
          <t>T2 resultado</t>
        </is>
      </c>
      <c r="F1" s="2" t="inlineStr">
        <is>
          <t>T2 tiempo (min)</t>
        </is>
      </c>
      <c r="G1" s="2" t="inlineStr">
        <is>
          <t>T2 dudas en voz alta / observaciones</t>
        </is>
      </c>
      <c r="H1" s="2" t="inlineStr">
        <is>
          <t>T3 resultado</t>
        </is>
      </c>
      <c r="I1" s="2" t="inlineStr">
        <is>
          <t>T3 tiempo (min)</t>
        </is>
      </c>
      <c r="J1" s="2" t="inlineStr">
        <is>
          <t>T3 dudas en voz alta / observaciones</t>
        </is>
      </c>
    </row>
    <row r="2">
      <c r="A2" s="3" t="inlineStr">
        <is>
          <t>P1</t>
        </is>
      </c>
      <c r="B2" s="3" t="inlineStr">
        <is>
          <t>sin ayuda</t>
        </is>
      </c>
      <c r="C2" s="3" t="n">
        <v>0.5</v>
      </c>
      <c r="D2" s="3" t="inlineStr">
        <is>
          <t>Entendió sola la marca en segundos; interpretó bien colores, estados y cómo se muestra en la UI de X.</t>
        </is>
      </c>
      <c r="E2" s="3" t="inlineStr">
        <is>
          <t>sin ayuda</t>
        </is>
      </c>
      <c r="F2" s="3" t="n">
        <v>0.5</v>
      </c>
      <c r="G2" s="3" t="inlineStr">
        <is>
          <t>Abrió el análisis solo en segundos. Sin dudas: al ver que las páginas de origen eran confiables, confió en el análisis.</t>
        </is>
      </c>
      <c r="H2" s="3" t="inlineStr">
        <is>
          <t>sin ayuda</t>
        </is>
      </c>
      <c r="I2" s="3" t="n">
        <v>0.5</v>
      </c>
      <c r="J2" s="3" t="inlineStr">
        <is>
          <t>Abrió una fuente en segundos. Reconoció las fuentes como medios confiables (Infobae, Clarín); eso le dio confianza en el análisis.</t>
        </is>
      </c>
    </row>
    <row r="3">
      <c r="A3" s="3" t="inlineStr">
        <is>
          <t>P2</t>
        </is>
      </c>
      <c r="B3" s="3" t="inlineStr">
        <is>
          <t>con ayuda</t>
        </is>
      </c>
      <c r="C3" s="3" t="n">
        <v>1</v>
      </c>
      <c r="D3" s="3" t="inlineStr">
        <is>
          <t>Suele usar X en el celular; en la computadora le costó, se le indicó dónde estaba la marca y la entendió fácilmente.</t>
        </is>
      </c>
      <c r="E3" s="3" t="inlineStr">
        <is>
          <t>con ayuda</t>
        </is>
      </c>
      <c r="F3" s="3" t="n">
        <v>4</v>
      </c>
      <c r="G3" s="3" t="inlineStr">
        <is>
          <t>Por problemas de vista (usa anteojos) hubo que indicarle dónde abrir el análisis y ayudarla a leer; le costó encontrar cómo ver más información.</t>
        </is>
      </c>
      <c r="H3" s="3" t="inlineStr">
        <is>
          <t>sin ayuda</t>
        </is>
      </c>
      <c r="I3" s="3" t="n">
        <v>2</v>
      </c>
      <c r="J3" s="3" t="inlineStr">
        <is>
          <t>Abrió sola la fuente de Infobae, el diario que lee siempre, y se puso a leerla completa.</t>
        </is>
      </c>
    </row>
    <row r="4">
      <c r="A4" s="3" t="inlineStr">
        <is>
          <t>P3</t>
        </is>
      </c>
      <c r="B4" s="3" t="inlineStr">
        <is>
          <t>con ayuda</t>
        </is>
      </c>
      <c r="C4" s="3" t="n">
        <v>3</v>
      </c>
      <c r="D4" s="3" t="inlineStr">
        <is>
          <t>Nunca había usado X en la computadora; hubo que explicarle eso y dónde estaba la extensión. Entendió bien la marca («índice de confianza»); después quiso ir más allá para ver el detalle y la fuente.</t>
        </is>
      </c>
      <c r="E4" s="3" t="inlineStr">
        <is>
          <t>con ayuda</t>
        </is>
      </c>
      <c r="F4" s="3" t="n">
        <v>2</v>
      </c>
      <c r="G4" s="3" t="inlineStr">
        <is>
          <t>Necesitó ayuda porque nunca usó X en la computadora. No se trabó ni hizo comentarios.</t>
        </is>
      </c>
      <c r="H4" s="3" t="inlineStr">
        <is>
          <t>con ayuda</t>
        </is>
      </c>
      <c r="I4" s="3" t="n">
        <v>4</v>
      </c>
      <c r="J4" s="3" t="inlineStr">
        <is>
          <t>Necesitó ayuda porque no sabía usar la computadora. No se trabó; se tomó tiempo para leer la fuente completa y corroborarla con lo que decía el tweet.</t>
        </is>
      </c>
    </row>
    <row r="5">
      <c r="A5" s="3" t="inlineStr">
        <is>
          <t>P4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P5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inlineStr">
        <is>
          <t>P6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inlineStr">
        <is>
          <t>P7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P8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</sheetData>
  <dataValidations count="1">
    <dataValidation sqref="B2:B9 E2:E9 H2:H9" showDropDown="0" showInputMessage="0" showErrorMessage="0" allowBlank="1" type="list">
      <formula1>"sin ayuda,con ayuda,no completada"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60" customHeight="1">
      <c r="A1" s="2" t="inlineStr">
        <is>
          <t>ID</t>
        </is>
      </c>
      <c r="B1" s="2" t="inlineStr">
        <is>
          <t>¿Qué entendiste que indicaba la marca que apareció sobre las publicaciones?</t>
        </is>
      </c>
      <c r="C1" s="2" t="inlineStr">
        <is>
          <t>¿Te resultó claro qué hacer para obtener más información sobre una publicación?</t>
        </is>
      </c>
      <c r="D1" s="2" t="inlineStr">
        <is>
          <t>¿Las fuentes que mostró el análisis te permitieron comprobar el resultado por tu cuenta?</t>
        </is>
      </c>
      <c r="E1" s="2" t="inlineStr">
        <is>
          <t>¿Hubo algún momento en que no supieras qué estaba haciendo la extensión?</t>
        </is>
      </c>
      <c r="F1" s="2" t="inlineStr">
        <is>
          <t>¿La extensión interfirió con tu forma habitual de usar X?</t>
        </is>
      </c>
      <c r="G1" s="2" t="inlineStr">
        <is>
          <t>¿Usarías la extensión en tu navegador? ¿Por qué?</t>
        </is>
      </c>
    </row>
    <row r="2">
      <c r="A2" s="3" t="inlineStr">
        <is>
          <t>P1</t>
        </is>
      </c>
      <c r="B2" s="3" t="inlineStr">
        <is>
          <t>Algo parecido a las notas de comunidad de X: más información sobre una publicación.</t>
        </is>
      </c>
      <c r="C2" s="3" t="inlineStr">
        <is>
          <t>Sí, que había que hacer clic; se veía bien y se parece a las notas de comunidad de X.</t>
        </is>
      </c>
      <c r="D2" s="3" t="inlineStr">
        <is>
          <t>Sí, son diarios argentinos conocidos y confiables; con eso supo que el veredicto era correcto.</t>
        </is>
      </c>
      <c r="E2" s="3" t="inlineStr">
        <is>
          <t>No, fue claro; no hay mucho para interactuar, le aparece mientras scrollea. Le resultó intuitiva.</t>
        </is>
      </c>
      <c r="F2" s="3" t="inlineStr">
        <is>
          <t>Sí, a veces se toma más tiempo para corroborar si lo que lee es verídico en vez de scrollear de largo.</t>
        </is>
      </c>
      <c r="G2" s="3" t="inlineStr">
        <is>
          <t>Sí, trabaja siempre en la computadora con X abierto al lado y le resulta cómodo.</t>
        </is>
      </c>
    </row>
    <row r="3">
      <c r="A3" s="3" t="inlineStr">
        <is>
          <t>P2</t>
        </is>
      </c>
      <c r="B3" s="3" t="inlineStr">
        <is>
          <t>El número en verde le indicó que era algo bueno o confiable; a pesar de no ver bien, el color la ayudó a entender el estado.</t>
        </is>
      </c>
      <c r="C3" s="3" t="inlineStr">
        <is>
          <t>Sí, después quiso indagar más sobre un posteo en particular.</t>
        </is>
      </c>
      <c r="D3" s="3" t="inlineStr">
        <is>
          <t>Sí, vio diarios digitales que ya conoce y siempre lee, y con eso corroboró la información.</t>
        </is>
      </c>
      <c r="E3" s="3" t="inlineStr">
        <is>
          <t>No; solo hubo que indicarle cómo usar X en la computadora y dónde estaba la extensión. Es una nota debajo de cada posteo, nada complicado.</t>
        </is>
      </c>
      <c r="F3" s="3" t="inlineStr">
        <is>
          <t>Un poco: ahora se toma más tiempo para detectar si algo es fake news y así informarse correctamente.</t>
        </is>
      </c>
      <c r="G3" s="3" t="inlineStr">
        <is>
          <t>Sí, está harta de las noticias falsas, de creérselas y enterarse después de que eran falsas.</t>
        </is>
      </c>
    </row>
    <row r="4">
      <c r="A4" s="3" t="inlineStr">
        <is>
          <t>P3</t>
        </is>
      </c>
      <c r="B4" s="3" t="inlineStr">
        <is>
          <t>El índice de confianza; lo entendió bien por los colores, el verde indicaba algo bueno.</t>
        </is>
      </c>
      <c r="C4" s="3" t="inlineStr">
        <is>
          <t>Al final le quedó claro.</t>
        </is>
      </c>
      <c r="D4" s="3" t="inlineStr">
        <is>
          <t>Sí, lo corroboró en diferentes fuentes y pudo entender que lo que vio en la noticia era verdad.</t>
        </is>
      </c>
      <c r="E4" s="3" t="inlineStr">
        <is>
          <t>No.</t>
        </is>
      </c>
      <c r="F4" s="3" t="inlineStr">
        <is>
          <t>No, porque no usaba X.</t>
        </is>
      </c>
      <c r="G4" s="3" t="inlineStr">
        <is>
          <t>No, porque no usa computadora.</t>
        </is>
      </c>
    </row>
    <row r="5">
      <c r="A5" s="3" t="inlineStr">
        <is>
          <t>P4</t>
        </is>
      </c>
      <c r="B5" s="3" t="n"/>
      <c r="C5" s="3" t="n"/>
      <c r="D5" s="3" t="n"/>
      <c r="E5" s="3" t="n"/>
      <c r="F5" s="3" t="n"/>
      <c r="G5" s="3" t="n"/>
    </row>
    <row r="6">
      <c r="A6" s="3" t="inlineStr">
        <is>
          <t>P5</t>
        </is>
      </c>
      <c r="B6" s="3" t="n"/>
      <c r="C6" s="3" t="n"/>
      <c r="D6" s="3" t="n"/>
      <c r="E6" s="3" t="n"/>
      <c r="F6" s="3" t="n"/>
      <c r="G6" s="3" t="n"/>
    </row>
    <row r="7">
      <c r="A7" s="3" t="inlineStr">
        <is>
          <t>P6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>P7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>P8</t>
        </is>
      </c>
      <c r="B9" s="3" t="n"/>
      <c r="C9" s="3" t="n"/>
      <c r="D9" s="3" t="n"/>
      <c r="E9" s="3" t="n"/>
      <c r="F9" s="3" t="n"/>
      <c r="G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</cols>
  <sheetData>
    <row r="1" ht="60" customHeight="1">
      <c r="A1" s="2" t="inlineStr">
        <is>
          <t>ID</t>
        </is>
      </c>
      <c r="B1" s="2" t="inlineStr">
        <is>
          <t>1. Me gustaría usarlo con frecuencia</t>
        </is>
      </c>
      <c r="C1" s="2" t="inlineStr">
        <is>
          <t>2. Innecesariamente complejo</t>
        </is>
      </c>
      <c r="D1" s="2" t="inlineStr">
        <is>
          <t>3. Fácil de usar</t>
        </is>
      </c>
      <c r="E1" s="2" t="inlineStr">
        <is>
          <t>4. Necesitaría apoyo técnico</t>
        </is>
      </c>
      <c r="F1" s="2" t="inlineStr">
        <is>
          <t>5. Funciones bien integradas</t>
        </is>
      </c>
      <c r="G1" s="2" t="inlineStr">
        <is>
          <t>6. Demasiada inconsistencia</t>
        </is>
      </c>
      <c r="H1" s="2" t="inlineStr">
        <is>
          <t>7. Se aprende muy rápido</t>
        </is>
      </c>
      <c r="I1" s="2" t="inlineStr">
        <is>
          <t>8. Muy engorroso</t>
        </is>
      </c>
      <c r="J1" s="2" t="inlineStr">
        <is>
          <t>9. Me sentí seguro</t>
        </is>
      </c>
      <c r="K1" s="2" t="inlineStr">
        <is>
          <t>10. Necesité aprender mucho antes</t>
        </is>
      </c>
      <c r="L1" s="2" t="inlineStr">
        <is>
          <t>Puntaje SUS (0-100)</t>
        </is>
      </c>
    </row>
    <row r="2">
      <c r="A2" t="inlineStr">
        <is>
          <t>P1</t>
        </is>
      </c>
      <c r="B2" t="n">
        <v>4</v>
      </c>
      <c r="C2" t="n">
        <v>2</v>
      </c>
      <c r="D2" t="n">
        <v>4</v>
      </c>
      <c r="E2" t="n">
        <v>1</v>
      </c>
      <c r="F2" t="n">
        <v>5</v>
      </c>
      <c r="G2" t="n">
        <v>2</v>
      </c>
      <c r="H2" t="n">
        <v>5</v>
      </c>
      <c r="I2" t="n">
        <v>2</v>
      </c>
      <c r="J2" t="n">
        <v>4</v>
      </c>
      <c r="K2" t="n">
        <v>2</v>
      </c>
      <c r="L2">
        <f>IF(COUNT(B2:K2)=10,((B2-1)+(D2-1)+(F2-1)+(H2-1)+(J2-1)+(5-C2)+(5-E2)+(5-G2)+(5-I2)+(5-K2))*2.5,"")</f>
        <v/>
      </c>
    </row>
    <row r="3">
      <c r="A3" t="inlineStr">
        <is>
          <t>P2</t>
        </is>
      </c>
      <c r="B3" t="n">
        <v>5</v>
      </c>
      <c r="C3" t="n">
        <v>1</v>
      </c>
      <c r="D3" t="n">
        <v>4</v>
      </c>
      <c r="E3" t="n">
        <v>4</v>
      </c>
      <c r="F3" t="n">
        <v>4</v>
      </c>
      <c r="G3" t="n">
        <v>1</v>
      </c>
      <c r="H3" t="n">
        <v>4</v>
      </c>
      <c r="I3" t="n">
        <v>1</v>
      </c>
      <c r="J3" t="n">
        <v>4</v>
      </c>
      <c r="K3" t="n">
        <v>5</v>
      </c>
      <c r="L3">
        <f>IF(COUNT(B3:K3)=10,((B3-1)+(D3-1)+(F3-1)+(H3-1)+(J3-1)+(5-C3)+(5-E3)+(5-G3)+(5-I3)+(5-K3))*2.5,"")</f>
        <v/>
      </c>
    </row>
    <row r="4">
      <c r="A4" t="inlineStr">
        <is>
          <t>P3</t>
        </is>
      </c>
      <c r="B4" t="n">
        <v>4</v>
      </c>
      <c r="C4" t="n">
        <v>2</v>
      </c>
      <c r="D4" t="n">
        <v>4</v>
      </c>
      <c r="E4" t="n">
        <v>4</v>
      </c>
      <c r="F4" t="n">
        <v>4</v>
      </c>
      <c r="G4" t="n">
        <v>2</v>
      </c>
      <c r="H4" t="n">
        <v>5</v>
      </c>
      <c r="I4" t="n">
        <v>2</v>
      </c>
      <c r="J4" t="n">
        <v>5</v>
      </c>
      <c r="K4" t="n">
        <v>5</v>
      </c>
      <c r="L4">
        <f>IF(COUNT(B4:K4)=10,((B4-1)+(D4-1)+(F4-1)+(H4-1)+(J4-1)+(5-C4)+(5-E4)+(5-G4)+(5-I4)+(5-K4))*2.5,"")</f>
        <v/>
      </c>
    </row>
    <row r="5">
      <c r="A5" t="inlineStr">
        <is>
          <t>P4</t>
        </is>
      </c>
      <c r="L5">
        <f>IF(COUNT(B5:K5)=10,((B5-1)+(D5-1)+(F5-1)+(H5-1)+(J5-1)+(5-C5)+(5-E5)+(5-G5)+(5-I5)+(5-K5))*2.5,"")</f>
        <v/>
      </c>
    </row>
    <row r="6">
      <c r="A6" t="inlineStr">
        <is>
          <t>P5</t>
        </is>
      </c>
      <c r="L6">
        <f>IF(COUNT(B6:K6)=10,((B6-1)+(D6-1)+(F6-1)+(H6-1)+(J6-1)+(5-C6)+(5-E6)+(5-G6)+(5-I6)+(5-K6))*2.5,"")</f>
        <v/>
      </c>
    </row>
    <row r="7">
      <c r="A7" t="inlineStr">
        <is>
          <t>P6</t>
        </is>
      </c>
      <c r="L7">
        <f>IF(COUNT(B7:K7)=10,((B7-1)+(D7-1)+(F7-1)+(H7-1)+(J7-1)+(5-C7)+(5-E7)+(5-G7)+(5-I7)+(5-K7))*2.5,"")</f>
        <v/>
      </c>
    </row>
    <row r="8">
      <c r="A8" t="inlineStr">
        <is>
          <t>P7</t>
        </is>
      </c>
      <c r="L8">
        <f>IF(COUNT(B8:K8)=10,((B8-1)+(D8-1)+(F8-1)+(H8-1)+(J8-1)+(5-C8)+(5-E8)+(5-G8)+(5-I8)+(5-K8))*2.5,"")</f>
        <v/>
      </c>
    </row>
    <row r="9">
      <c r="A9" t="inlineStr">
        <is>
          <t>P8</t>
        </is>
      </c>
      <c r="L9">
        <f>IF(COUNT(B9:K9)=10,((B9-1)+(D9-1)+(F9-1)+(H9-1)+(J9-1)+(5-C9)+(5-E9)+(5-G9)+(5-I9)+(5-K9))*2.5,"")</f>
        <v/>
      </c>
    </row>
  </sheetData>
  <dataValidations count="1">
    <dataValidation sqref="B2:K9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Participantes con SUS completo</t>
        </is>
      </c>
      <c r="B2">
        <f>COUNT(SUS!L2:L9)</f>
        <v/>
      </c>
    </row>
    <row r="3">
      <c r="A3" t="inlineStr">
        <is>
          <t>Puntaje SUS medio (0-100)</t>
        </is>
      </c>
      <c r="B3">
        <f>IFERROR(AVERAGE(SUS!L2:L9),"")</f>
        <v/>
      </c>
    </row>
    <row r="4">
      <c r="A4" t="inlineStr">
        <is>
          <t>Puntaje SUS mínimo</t>
        </is>
      </c>
      <c r="B4">
        <f>IFERROR(MIN(SUS!L2:L9),"")</f>
        <v/>
      </c>
    </row>
    <row r="5">
      <c r="A5" t="inlineStr">
        <is>
          <t>Puntaje SUS máximo</t>
        </is>
      </c>
      <c r="B5">
        <f>IFERROR(MAX(SUS!L2:L9),"")</f>
        <v/>
      </c>
    </row>
    <row r="6">
      <c r="A6" t="inlineStr">
        <is>
          <t>Valoración media afirmación 1 (Me gustaría usarlo con frecuencia)</t>
        </is>
      </c>
      <c r="B6">
        <f>IFERROR(AVERAGE(SUS!B2:B9),"")</f>
        <v/>
      </c>
    </row>
    <row r="7">
      <c r="A7" t="inlineStr">
        <is>
          <t>Valoración media afirmación 2 (Innecesariamente complejo)</t>
        </is>
      </c>
      <c r="B7">
        <f>IFERROR(AVERAGE(SUS!C2:C9),"")</f>
        <v/>
      </c>
    </row>
    <row r="8">
      <c r="A8" t="inlineStr">
        <is>
          <t>Valoración media afirmación 3 (Fácil de usar)</t>
        </is>
      </c>
      <c r="B8">
        <f>IFERROR(AVERAGE(SUS!D2:D9),"")</f>
        <v/>
      </c>
    </row>
    <row r="9">
      <c r="A9" t="inlineStr">
        <is>
          <t>Valoración media afirmación 4 (Necesitaría apoyo técnico)</t>
        </is>
      </c>
      <c r="B9">
        <f>IFERROR(AVERAGE(SUS!E2:E9),"")</f>
        <v/>
      </c>
    </row>
    <row r="10">
      <c r="A10" t="inlineStr">
        <is>
          <t>Valoración media afirmación 5 (Funciones bien integradas)</t>
        </is>
      </c>
      <c r="B10">
        <f>IFERROR(AVERAGE(SUS!F2:F9),"")</f>
        <v/>
      </c>
    </row>
    <row r="11">
      <c r="A11" t="inlineStr">
        <is>
          <t>Valoración media afirmación 6 (Demasiada inconsistencia)</t>
        </is>
      </c>
      <c r="B11">
        <f>IFERROR(AVERAGE(SUS!G2:G9),"")</f>
        <v/>
      </c>
    </row>
    <row r="12">
      <c r="A12" t="inlineStr">
        <is>
          <t>Valoración media afirmación 7 (Se aprende muy rápido)</t>
        </is>
      </c>
      <c r="B12">
        <f>IFERROR(AVERAGE(SUS!H2:H9),"")</f>
        <v/>
      </c>
    </row>
    <row r="13">
      <c r="A13" t="inlineStr">
        <is>
          <t>Valoración media afirmación 8 (Muy engorroso)</t>
        </is>
      </c>
      <c r="B13">
        <f>IFERROR(AVERAGE(SUS!I2:I9),"")</f>
        <v/>
      </c>
    </row>
    <row r="14">
      <c r="A14" t="inlineStr">
        <is>
          <t>Valoración media afirmación 9 (Me sentí seguro)</t>
        </is>
      </c>
      <c r="B14">
        <f>IFERROR(AVERAGE(SUS!J2:J9),"")</f>
        <v/>
      </c>
    </row>
    <row r="15">
      <c r="A15" t="inlineStr">
        <is>
          <t>Valoración media afirmación 10 (Necesité aprender mucho antes)</t>
        </is>
      </c>
      <c r="B15">
        <f>IFERROR(AVERAGE(SUS!K2:K9),"")</f>
        <v/>
      </c>
    </row>
    <row r="16">
      <c r="A16" t="inlineStr">
        <is>
          <t>T1: completada sin ayuda</t>
        </is>
      </c>
      <c r="B16">
        <f>COUNTIF(Tareas!B2:B9,"sin ayuda")&amp;" de "&amp;COUNTA(Tareas!B2:B9)</f>
        <v/>
      </c>
    </row>
    <row r="17">
      <c r="A17" t="inlineStr">
        <is>
          <t>T2: completada sin ayuda</t>
        </is>
      </c>
      <c r="B17">
        <f>COUNTIF(Tareas!E2:E9,"sin ayuda")&amp;" de "&amp;COUNTA(Tareas!E2:E9)</f>
        <v/>
      </c>
    </row>
    <row r="18">
      <c r="A18" t="inlineStr">
        <is>
          <t>T3: completada sin ayuda</t>
        </is>
      </c>
      <c r="B18">
        <f>COUNTIF(Tareas!H2:H9,"sin ayuda")&amp;" de "&amp;COUNTA(Tareas!H2:H9)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2026-10-05T23:00:56Z</dcterms:created>
  <dcterms:modified xmlns:dcterms="http://purl.org/dc/terms/" xmlns:xsi="http://www.w3.org/2001/XMLSchema-instance" xsi:type="dcterms:W3CDTF">2026-10-17T02:31:38Z</dcterms:modified>
</cp:coreProperties>
</file>