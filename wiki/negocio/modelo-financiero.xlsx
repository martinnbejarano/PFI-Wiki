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Supuestos!$E$67:$G$67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busquedas" vbProcedure="false">Supuestos!$E$60:$G$60</definedName>
    <definedName function="false" hidden="false" name="capt_agencias" vbProcedure="false">Supuestos!$E$96:$G$96</definedName>
    <definedName function="false" hidden="false" name="capt_medios_chicos" vbProcedure="false">Supuestos!$E$92:$G$92</definedName>
    <definedName function="false" hidden="false" name="capt_medios_grandes" vbProcedure="false">Supuestos!$E$91:$G$91</definedName>
    <definedName function="false" hidden="false" name="capt_organismos" vbProcedure="false">Supuestos!$E$95:$G$95</definedName>
    <definedName function="false" hidden="false" name="capt_universidades" vbProcedure="false">Supuestos!$E$94:$G$94</definedName>
    <definedName function="false" hidden="false" name="capt_verificadores" vbProcedure="false">Supuestos!$E$93:$G$93</definedName>
    <definedName function="false" hidden="false" name="cargas_sociales" vbProcedure="false">Supuestos!$D$29</definedName>
    <definedName function="false" hidden="false" name="churn_agencias" vbProcedure="false">Supuestos!$E$101:$G$101</definedName>
    <definedName function="false" hidden="false" name="churn_medios_chicos" vbProcedure="false">Supuestos!$E$98:$G$98</definedName>
    <definedName function="false" hidden="false" name="churn_medios_grandes" vbProcedure="false">Supuestos!$E$97:$G$97</definedName>
    <definedName function="false" hidden="false" name="churn_universidades" vbProcedure="false">Supuestos!$E$100:$G$100</definedName>
    <definedName function="false" hidden="false" name="churn_verificadores" vbProcedure="false">Supuestos!$E$99:$G$99</definedName>
    <definedName function="false" hidden="false" name="consultas_ent_mes" vbProcedure="false">Supuestos!$E$71:$G$71</definedName>
    <definedName function="false" hidden="false" name="consultas_pro_mes" vbProcedure="false">Supuestos!$E$70:$G$70</definedName>
    <definedName function="false" hidden="false" name="costo_analisis" vbProcedure="false">Supuestos!$E$61:$G$61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cuota_intermedia" vbProcedure="false">Supuestos!$D$72</definedName>
    <definedName function="false" hidden="false" name="cuota_superior" vbProcedure="false">Supuestos!$D$73</definedName>
    <definedName function="false" hidden="false" name="dominio_anual" vbProcedure="false">Supuestos!$D$46</definedName>
    <definedName function="false" hidden="false" name="erp_maduro" vbProcedure="false">Supuestos!$D$18</definedName>
    <definedName function="false" hidden="false" name="horizonte" vbProcedure="false">Supuestos!$D$5</definedName>
    <definedName function="false" hidden="false" name="infra_base" vbProcedure="false">Supuestos!$D$43</definedName>
    <definedName function="false" hidden="false" name="infra_escalado" vbProcedure="false">Supuestos!$D$44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Supuestos!$D$40</definedName>
    <definedName function="false" hidden="false" name="inv_marca_inpi" vbProcedure="false">Supuestos!$D$39</definedName>
    <definedName function="false" hidden="false" name="marketing" vbProcedure="false">Supuestos!$E$47:$G$51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Supuestos!$E$89:$G$89</definedName>
    <definedName function="false" hidden="false" name="precio_busqueda" vbProcedure="false">Supuestos!$D$56</definedName>
    <definedName function="false" hidden="false" name="precio_entrada" vbProcedure="false">Supuestos!$D$54</definedName>
    <definedName function="false" hidden="false" name="precio_excedente" vbProcedure="false">Supuestos!$D$74</definedName>
    <definedName function="false" hidden="false" name="precio_medios_chicos" vbProcedure="false">Supuestos!$D$85</definedName>
    <definedName function="false" hidden="false" name="precio_medios_grandes" vbProcedure="false">Supuestos!$E$84:$G$84</definedName>
    <definedName function="false" hidden="false" name="precio_organismos" vbProcedure="false">Supuestos!$E$88:$G$88</definedName>
    <definedName function="false" hidden="false" name="precio_salida" vbProcedure="false">Supuestos!$D$55</definedName>
    <definedName function="false" hidden="false" name="precio_universidades" vbProcedure="false">Supuestos!$D$87</definedName>
    <definedName function="false" hidden="false" name="precio_verificadores" vbProcedure="false">Supuestos!$D$86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Supuestos!$D$106</definedName>
    <definedName function="false" hidden="false" name="sens_costo_analisis" vbProcedure="false">Supuestos!$D$104</definedName>
    <definedName function="false" hidden="false" name="sens_precios" vbProcedure="false">Supuestos!$D$105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Supuestos!$E$69:$G$69</definedName>
    <definedName function="false" hidden="false" name="tc_encuesta" vbProcedure="false">Supuestos!$D$25</definedName>
    <definedName function="false" hidden="false" name="tokens_entrada" vbProcedure="false">Supuestos!$E$58:$G$58</definedName>
    <definedName function="false" hidden="false" name="tokens_por_millon" vbProcedure="false">Supuestos!$D$57</definedName>
    <definedName function="false" hidden="false" name="tokens_salida" vbProcedure="false">Supuestos!$E$59:$G$59</definedName>
    <definedName function="false" hidden="false" name="tope_mensual" vbProcedure="false">Supuestos!$D$68</definedName>
    <definedName function="false" hidden="false" name="ua_escalado" vbProcedure="false">Supuestos!$D$45</definedName>
    <definedName function="false" hidden="false" name="ua_inicio_b2b" vbProcedure="false">Supuestos!$D$90</definedName>
    <definedName function="false" hidden="false" name="usuarios_activos" vbProcedure="false">Supuestos!$E$62:$G$66</definedName>
    <definedName function="false" hidden="false" name="u_agencias" vbProcedure="false">Supuestos!$D$83</definedName>
    <definedName function="false" hidden="false" name="u_medios_chicos" vbProcedure="false">Supuestos!$D$79</definedName>
    <definedName function="false" hidden="false" name="u_medios_grandes" vbProcedure="false">Supuestos!$D$78</definedName>
    <definedName function="false" hidden="false" name="u_medios_total" vbProcedure="false">Supuestos!$D$77</definedName>
    <definedName function="false" hidden="false" name="u_organismos" vbProcedure="false">Supuestos!$D$82</definedName>
    <definedName function="false" hidden="false" name="u_universidades" vbProcedure="false">Supuestos!$D$81</definedName>
    <definedName function="false" hidden="false" name="u_verificadores" vbProcedure="false">Supuestos!$D$80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<sst xmlns="http://schemas.openxmlformats.org/spreadsheetml/2006/main" count="618" uniqueCount="337">
  <si>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</si>
  <si>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</si>
  <si>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</si>
  <si>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</si>
  <si>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</si>
  <si>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</si>
  <si>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</si>
  <si>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</si>
  <si>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</si>
  <si>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</si>
  <si>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</si>
  <si>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</si>
  <si>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</si>
  <si>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</si>
  <si>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</si>
  <si>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</si>
  <si>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</si>
  <si>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</si>
  <si>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</si>
  <si>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</si>
  <si>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</si>
  <si>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</si>
  <si>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</si>
  <si>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</si>
  <si>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</si>
  <si>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</si>
  <si>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</si>
  <si>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</si>
  <si>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</si>
  <si>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</si>
  <si>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</si>
  <si>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</si>
  <si>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</si>
  <si>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</si>
  <si>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</si>
  <si>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</si>
  <si>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</si>
  <si>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RavaBursatil2026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</si>
  <si>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</si>
  <si>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</si>
  <si>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</si>
  <si>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</si>
  <si>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</si>
  <si>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</si>
  <si>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</si>
  <si>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</si>
  <si>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</si>
  <si>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</si>
  <si>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</si>
  <si>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</si>
  <si>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</si>
  <si>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</si>
  <si>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</si>
  <si>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</si>
  <si>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</si>
  <si>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</si>
  <si>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</si>
  <si>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desarrollador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</si>
  <si>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</si>
  <si>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</si>
  <si>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</si>
  <si>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</si>
  <si>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</si>
  <si>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</si>
  <si>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</si>
  <si>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</si>
  <si>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</si>
  <si>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</si>
  <si>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</si>
  <si>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</si>
  <si>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</si>
  <si>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</si>
  <si>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</si>
  <si>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ART: supuesto propio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</si>
  <si>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</si>
  <si>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</si>
  <si>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</si>
  <si>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</si>
  <si>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</si>
  <si>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</si>
  <si>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Alícuota máxima de la escala, CongresoNacion2021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</si>
  <si>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</si>
  <si>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</si>
  <si>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</si>
  <si>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</si>
  <si>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PFI: API y clasificador en Railway (13 USD/mes × 12)</t>
  </si>
  <si>
    <t xml:space="preserve">USD</t>
  </si>
  <si>
    <t xml:space="preserve">Cap. 4, RNF-14; RailwayPrecios2026</t>
  </si>
  <si>
    <t xml:space="preserve">inv_dominio</t>
  </si>
  <si>
    <t xml:space="preserve">Dominio .com.ar, primer año (ARS 8.500)</t>
  </si>
  <si>
    <t xml:space="preserve">NICArgentina2026</t>
  </si>
  <si>
    <t xml:space="preserve">inv_marca_inpi</t>
  </si>
  <si>
    <t xml:space="preserve">Solicitud de marca en el INPI, clases 9 y 42 (200 UMAPI)</t>
  </si>
  <si>
    <t xml:space="preserve">INPI2026, INPIUmapi2026</t>
  </si>
  <si>
    <t xml:space="preserve">inv_legal</t>
  </si>
  <si>
    <t xml:space="preserve">Asesoría legal</t>
  </si>
  <si>
    <t xml:space="preserve">Infraestructura y hosting (años 1 a 5)</t>
  </si>
  <si>
    <t xml:space="preserve">infra_base</t>
  </si>
  <si>
    <t xml:space="preserve">Base comercial: Railway Pro, con 20 USD de uso incluidos (API y clasificador, 13 USD/mes)</t>
  </si>
  <si>
    <t xml:space="preserve">RailwayPrecios2026</t>
  </si>
  <si>
    <t xml:space="preserve">infra_escalado</t>
  </si>
  <si>
    <t xml:space="preserve">Uso adicional por cada bloque de usuarios activos (1 GB de memoria)</t>
  </si>
  <si>
    <t xml:space="preserve">Supuesto propio; tarifa RailwayPrecios2026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</si>
  <si>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</si>
  <si>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</si>
  <si>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</si>
  <si>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</si>
  <si>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 .com.ar (ARS 8.500)</t>
  </si>
  <si>
    <t xml:space="preserve">USD/año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</si>
  <si>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</si>
  <si>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</si>
  <si>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</si>
  <si>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</si>
  <si>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</si>
  <si>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</si>
  <si>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</si>
  <si>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</si>
  <si>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</si>
  <si>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</si>
  <si>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</si>
  <si>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</si>
  <si>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</si>
  <si>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</si>
  <si>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</si>
  <si>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</si>
  <si>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</si>
  <si>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</si>
  <si>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</si>
  <si>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</si>
  <si>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</si>
  <si>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Supuesto propio; contraste: Cap. 4, RNF-14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</si>
  <si>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</si>
  <si>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</si>
  <si>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</si>
  <si>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</si>
  <si>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</si>
  <si>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</si>
  <si>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</si>
  <si>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</si>
  <si>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</si>
  <si>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</si>
  <si>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</si>
  <si>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</si>
  <si>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</si>
  <si>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</si>
  <si>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</si>
  <si>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</si>
  <si>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</si>
  <si>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a demanda nuevos por instalación por mes</t>
  </si>
  <si>
    <t xml:space="preserve">Decisión de producto (RF-17)</t>
  </si>
  <si>
    <t xml:space="preserve">tasa_reuso</t>
  </si>
  <si>
    <t xml:space="preserve">Análisis servidos desde la caché (las publicaciones virales concentran la demanda)</t>
  </si>
  <si>
    <t xml:space="preserve">consultas_pro_mes</t>
  </si>
  <si>
    <t xml:space="preserve">Demanda de consultas por cliente de la API intermedia por mes (se costea hasta la cuota)</t>
  </si>
  <si>
    <t xml:space="preserve">consultas</t>
  </si>
  <si>
    <t xml:space="preserve">consultas_ent_mes</t>
  </si>
  <si>
    <t xml:space="preserve">Demanda de consultas por cliente de la API superior por mes (se costea hasta la cuota)</t>
  </si>
  <si>
    <t xml:space="preserve">cuota_intermedia</t>
  </si>
  <si>
    <t xml:space="preserve">Cuota mensual incluida en la API intermedia</t>
  </si>
  <si>
    <t xml:space="preserve">Cap. 3, tab:pricing</t>
  </si>
  <si>
    <t xml:space="preserve">cuota_superior</t>
  </si>
  <si>
    <t xml:space="preserve">Cuota mensual incluida en la API superior</t>
  </si>
  <si>
    <t xml:space="preserve">precio_excedente</t>
  </si>
  <si>
    <t xml:space="preserve">Precio por consulta excedente sobre la cuota (no se modela)</t>
  </si>
  <si>
    <t xml:space="preserve">USD/consulta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</si>
  <si>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</si>
  <si>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</si>
  <si>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</si>
  <si>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</si>
  <si>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</si>
  <si>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</si>
  <si>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</si>
  <si>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</si>
  <si>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</si>
  <si>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</si>
  <si>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</si>
  <si>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</si>
  <si>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</si>
  <si>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</si>
  <si>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</si>
  <si>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</si>
  <si>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</si>
  <si>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</si>
  <si>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</si>
  <si>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</si>
  <si>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</si>
  <si>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</si>
  <si>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</si>
  <si>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</si>
  <si>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</si>
  <si>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</si>
  <si>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</si>
  <si>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</si>
  <si>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</si>
  <si>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</si>
  <si>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</si>
  <si>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</si>
  <si>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</si>
  <si>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</si>
  <si>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</si>
  <si>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ua_inicio_b2b</t>
  </si>
  <si>
    <t xml:space="preserve">Usuarios activos mensuales desde los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</si>
  <si>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</si>
  <si>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</si>
  <si>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</si>
  <si>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</si>
  <si>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</si>
  <si>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</si>
  <si>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</si>
  <si>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</si>
  <si>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</si>
  <si>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</si>
  <si>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</si>
  <si>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</si>
  <si>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</si>
  <si>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Tasa de bajas anual: medios de gran porte</t>
  </si>
  <si>
    <t xml:space="preserve">churn_medios_chicos</t>
  </si>
  <si>
    <t xml:space="preserve">Tasa de bajas anual: resto de medios de ADEPA</t>
  </si>
  <si>
    <t xml:space="preserve">churn_verificadores</t>
  </si>
  <si>
    <t xml:space="preserve">Tasa de bajas anual: verificadores</t>
  </si>
  <si>
    <t xml:space="preserve">churn_universidades</t>
  </si>
  <si>
    <t xml:space="preserve">Tasa de bajas anual: universidades</t>
  </si>
  <si>
    <t xml:space="preserve">churn_agencias</t>
  </si>
  <si>
    <t xml:space="preserve">Tasa de bajas anual: agencias</t>
  </si>
  <si>
    <t xml:space="preserve">Sensibilidad (1 = caso base)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</si>
  <si>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</si>
  <si>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</si>
  <si>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</si>
  <si>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</si>
  <si>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</si>
  <si>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</si>
  <si>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</si>
  <si>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</si>
  <si>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</si>
  <si>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</si>
  <si>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</si>
  <si>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</si>
  <si>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</si>
  <si>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</si>
  <si>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</si>
  <si>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</si>
  <si>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</si>
  <si>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</si>
  <si>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</si>
  <si>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</si>
  <si>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</si>
  <si>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</si>
  <si>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</si>
  <si>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</si>
  <si>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</si>
  <si>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Margen mensual por cliente a cuota llena (USD)</t>
  </si>
  <si>
    <t xml:space="preserve">API intermedia: costo variable a cuota llena</t>
  </si>
  <si>
    <t xml:space="preserve">API intermedia: margen a cuota llena</t>
  </si>
  <si>
    <t xml:space="preserve">API superior: costo variable a cuota llena</t>
  </si>
  <si>
    <t xml:space="preserve">API superior: margen a cuota llena</t>
  </si>
  <si>
    <t xml:space="preserve">Economía unitaria, escenario neutral (USD)</t>
  </si>
  <si>
    <t xml:space="preserve">Precio mensual</t>
  </si>
  <si>
    <t xml:space="preserve">Costo variable mensual</t>
  </si>
  <si>
    <t xml:space="preserve">Margen mensual</t>
  </si>
  <si>
    <t xml:space="preserve">Churn anual</t>
  </si>
  <si>
    <t xml:space="preserve">LTV</t>
  </si>
  <si>
    <t xml:space="preserve">LTV/CAC</t>
  </si>
  <si>
    <t xml:space="preserve">Payback del CAC (meses)</t>
  </si>
  <si>
    <t xml:space="preserve">CAC (USD por alta de suscripción)</t>
  </si>
  <si>
    <t xml:space="preserve">Unitaria: Medios de gran porte</t>
  </si>
  <si>
    <t xml:space="preserve">Unitaria: Medios socios de ADEPA (resto)</t>
  </si>
  <si>
    <t xml:space="preserve">Unitaria: Verificadores</t>
  </si>
  <si>
    <t xml:space="preserve">Unitaria: Universidades y observatorios</t>
  </si>
  <si>
    <t xml:space="preserve">Unitaria: Agencias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</si>
  <si>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</si>
  <si>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</si>
  <si>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</si>
  <si>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</si>
  <si>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</si>
  <si>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Usuarios activos mensuales</t>
  </si>
  <si>
    <t xml:space="preserve">Ventas B2B habilitadas (1 = sí)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</si>
  <si>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</si>
  <si>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</si>
  <si>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</si>
  <si>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</si>
  <si>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</si>
  <si>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</si>
  <si>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</si>
  <si>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</si>
  <si>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</si>
  <si>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</si>
  <si>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</si>
  <si>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</si>
  <si>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</si>
  <si>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</si>
  <si>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</si>
  <si>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</si>
  <si>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</si>
  <si>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</si>
  <si>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</si>
  <si>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</si>
  <si>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</si>
  <si>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</si>
  <si>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</si>
  <si>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</si>
  <si>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</si>
  <si>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</si>
  <si>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</si>
  <si>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</si>
  <si>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</si>
  <si>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</si>
  <si>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</si>
  <si>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</si>
  <si>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</si>
  <si>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</si>
  <si>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</si>
  <si>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</si>
  <si>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</si>
  <si>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</si>
  <si>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marketing</t>
  </si>
  <si>
    <t xml:space="preserve">Costo: dominio,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</si>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</sst>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156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5.56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54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1500</v>
      </c>
      <c r="H40" s="0" t="s">
        <v>17</v>
      </c>
    </row>
    <row r="42" customFormat="false" ht="15" hidden="false" customHeight="false" outlineLevel="0" collapsed="false">
      <c r="A42" s="1" t="s">
        <v>96</v>
      </c>
    </row>
    <row r="43" customFormat="false" ht="15" hidden="false" customHeight="false" outlineLevel="0" collapsed="false">
      <c r="A43" s="0" t="s">
        <v>97</v>
      </c>
      <c r="B43" s="0" t="s">
        <v>98</v>
      </c>
      <c r="C43" s="0" t="s">
        <v>65</v>
      </c>
      <c r="D43" s="0" t="n">
        <v>20</v>
      </c>
      <c r="H43" s="0" t="s">
        <v>99</v>
      </c>
    </row>
    <row r="44" customFormat="false" ht="15" hidden="false" customHeight="false" outlineLevel="0" collapsed="false">
      <c r="A44" s="0" t="s">
        <v>100</v>
      </c>
      <c r="B44" s="0" t="s">
        <v>101</v>
      </c>
      <c r="C44" s="0" t="s">
        <v>65</v>
      </c>
      <c r="D44" s="0" t="n">
        <v>10</v>
      </c>
      <c r="H44" s="0" t="s">
        <v>102</v>
      </c>
    </row>
    <row r="45" customFormat="false" ht="15" hidden="false" customHeight="false" outlineLevel="0" collapsed="false">
      <c r="A45" s="0" t="s">
        <v>103</v>
      </c>
      <c r="B45" s="0" t="s">
        <v>104</v>
      </c>
      <c r="C45" s="0" t="s">
        <v>105</v>
      </c>
      <c r="D45" s="0" t="n">
        <v>10000</v>
      </c>
      <c r="H45" s="0" t="s">
        <v>17</v>
      </c>
    </row>
    <row r="46" customFormat="false" ht="15" hidden="false" customHeight="false" outlineLevel="0" collapsed="false">
      <c r="A46" s="0" t="s">
        <v>106</v>
      </c>
      <c r="B46" s="0" t="s">
        <v>107</v>
      </c>
      <c r="C46" s="0" t="s">
        <v>108</v>
      </c>
      <c r="D46" s="0" t="n">
        <v>5.56</v>
      </c>
      <c r="H46" s="0" t="s">
        <v>90</v>
      </c>
    </row>
    <row r="47" customFormat="false" ht="15" hidden="false" customHeight="false" outlineLevel="0" collapsed="false">
      <c r="A47" s="0" t="s">
        <v>109</v>
      </c>
      <c r="B47" s="0" t="s">
        <v>110</v>
      </c>
      <c r="C47" s="0" t="s">
        <v>108</v>
      </c>
      <c r="E47" s="0" t="n">
        <v>6000</v>
      </c>
      <c r="F47" s="0" t="n">
        <v>4000</v>
      </c>
      <c r="G47" s="0" t="n">
        <v>2000</v>
      </c>
      <c r="H47" s="0" t="s">
        <v>17</v>
      </c>
    </row>
    <row r="48" customFormat="false" ht="15" hidden="false" customHeight="false" outlineLevel="0" collapsed="false">
      <c r="B48" s="0" t="s">
        <v>111</v>
      </c>
      <c r="C48" s="0" t="s">
        <v>108</v>
      </c>
      <c r="E48" s="0" t="n">
        <v>9000</v>
      </c>
      <c r="F48" s="0" t="n">
        <v>6000</v>
      </c>
      <c r="G48" s="0" t="n">
        <v>3000</v>
      </c>
      <c r="H48" s="0" t="s">
        <v>17</v>
      </c>
    </row>
    <row r="49" customFormat="false" ht="15" hidden="false" customHeight="false" outlineLevel="0" collapsed="false">
      <c r="B49" s="0" t="s">
        <v>112</v>
      </c>
      <c r="C49" s="0" t="s">
        <v>108</v>
      </c>
      <c r="E49" s="0" t="n">
        <v>12000</v>
      </c>
      <c r="F49" s="0" t="n">
        <v>8000</v>
      </c>
      <c r="G49" s="0" t="n">
        <v>4000</v>
      </c>
      <c r="H49" s="0" t="s">
        <v>17</v>
      </c>
    </row>
    <row r="50" customFormat="false" ht="15" hidden="false" customHeight="false" outlineLevel="0" collapsed="false">
      <c r="B50" s="0" t="s">
        <v>113</v>
      </c>
      <c r="C50" s="0" t="s">
        <v>108</v>
      </c>
      <c r="E50" s="0" t="n">
        <v>15000</v>
      </c>
      <c r="F50" s="0" t="n">
        <v>10000</v>
      </c>
      <c r="G50" s="0" t="n">
        <v>5000</v>
      </c>
      <c r="H50" s="0" t="s">
        <v>17</v>
      </c>
    </row>
    <row r="51" customFormat="false" ht="15" hidden="false" customHeight="false" outlineLevel="0" collapsed="false">
      <c r="B51" s="0" t="s">
        <v>114</v>
      </c>
      <c r="C51" s="0" t="s">
        <v>108</v>
      </c>
      <c r="E51" s="0" t="n">
        <v>18000</v>
      </c>
      <c r="F51" s="0" t="n">
        <v>12000</v>
      </c>
      <c r="G51" s="0" t="n">
        <v>6000</v>
      </c>
      <c r="H51" s="0" t="s">
        <v>17</v>
      </c>
    </row>
    <row r="53" customFormat="false" ht="15" hidden="false" customHeight="false" outlineLevel="0" collapsed="false">
      <c r="A53" s="1" t="s">
        <v>115</v>
      </c>
    </row>
    <row r="54" customFormat="false" ht="15" hidden="false" customHeight="false" outlineLevel="0" collapsed="false">
      <c r="A54" s="0" t="s">
        <v>116</v>
      </c>
      <c r="B54" s="0" t="s">
        <v>117</v>
      </c>
      <c r="C54" s="0" t="s">
        <v>118</v>
      </c>
      <c r="D54" s="0" t="n">
        <v>0.2</v>
      </c>
      <c r="H54" s="0" t="s">
        <v>119</v>
      </c>
    </row>
    <row r="55" customFormat="false" ht="15" hidden="false" customHeight="false" outlineLevel="0" collapsed="false">
      <c r="A55" s="0" t="s">
        <v>120</v>
      </c>
      <c r="B55" s="0" t="s">
        <v>121</v>
      </c>
      <c r="C55" s="0" t="s">
        <v>118</v>
      </c>
      <c r="D55" s="0" t="n">
        <v>1.2</v>
      </c>
      <c r="H55" s="0" t="s">
        <v>119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0" t="s">
        <v>124</v>
      </c>
      <c r="D56" s="0" t="n">
        <v>0.01</v>
      </c>
      <c r="H56" s="0" t="s">
        <v>119</v>
      </c>
    </row>
    <row r="57" customFormat="false" ht="15" hidden="false" customHeight="false" outlineLevel="0" collapsed="false">
      <c r="A57" s="0" t="s">
        <v>125</v>
      </c>
      <c r="B57" s="0" t="s">
        <v>126</v>
      </c>
      <c r="C57" s="0" t="s">
        <v>127</v>
      </c>
      <c r="D57" s="0" t="n">
        <v>1000000</v>
      </c>
      <c r="H57" s="0" t="s">
        <v>21</v>
      </c>
    </row>
    <row r="58" customFormat="false" ht="15" hidden="false" customHeight="false" outlineLevel="0" collapsed="false">
      <c r="A58" s="0" t="s">
        <v>128</v>
      </c>
      <c r="B58" s="0" t="s">
        <v>129</v>
      </c>
      <c r="C58" s="0" t="s">
        <v>127</v>
      </c>
      <c r="E58" s="0" t="n">
        <v>6220</v>
      </c>
      <c r="F58" s="0" t="n">
        <v>11220</v>
      </c>
      <c r="G58" s="0" t="n">
        <v>18220</v>
      </c>
      <c r="H58" s="0" t="s">
        <v>130</v>
      </c>
    </row>
    <row r="59" customFormat="false" ht="15" hidden="false" customHeight="false" outlineLevel="0" collapsed="false">
      <c r="A59" s="0" t="s">
        <v>131</v>
      </c>
      <c r="B59" s="0" t="s">
        <v>132</v>
      </c>
      <c r="C59" s="0" t="s">
        <v>127</v>
      </c>
      <c r="E59" s="0" t="n">
        <v>1250</v>
      </c>
      <c r="F59" s="0" t="n">
        <v>2000</v>
      </c>
      <c r="G59" s="0" t="n">
        <v>3600</v>
      </c>
      <c r="H59" s="0" t="s">
        <v>130</v>
      </c>
    </row>
    <row r="60" customFormat="false" ht="15" hidden="false" customHeight="false" outlineLevel="0" collapsed="false">
      <c r="A60" s="0" t="s">
        <v>133</v>
      </c>
      <c r="B60" s="0" t="s">
        <v>134</v>
      </c>
      <c r="C60" s="0" t="s">
        <v>135</v>
      </c>
      <c r="E60" s="0" t="n">
        <v>1</v>
      </c>
      <c r="F60" s="0" t="n">
        <v>2</v>
      </c>
      <c r="G60" s="0" t="n">
        <v>3</v>
      </c>
      <c r="H60" s="0" t="s">
        <v>17</v>
      </c>
    </row>
    <row r="61" customFormat="false" ht="15" hidden="false" customHeight="false" outlineLevel="0" collapsed="false">
      <c r="A61" s="0" t="s">
        <v>136</v>
      </c>
      <c r="B61" s="0" t="s">
        <v>137</v>
      </c>
      <c r="C61" s="0" t="s">
        <v>86</v>
      </c>
      <c r="E61" s="0" t="n">
        <f aca="false">(E58*precio_entrada+E59*precio_salida)/tokens_por_millon+E60*precio_busqueda</f>
        <v>0.012744</v>
      </c>
      <c r="F61" s="0" t="n">
        <f aca="false">(F58*precio_entrada+F59*precio_salida)/tokens_por_millon+F60*precio_busqueda</f>
        <v>0.024644</v>
      </c>
      <c r="G61" s="0" t="n">
        <f aca="false">(G58*precio_entrada+G59*precio_salida)/tokens_por_millon+G60*precio_busqueda</f>
        <v>0.037964</v>
      </c>
      <c r="H61" s="0" t="s">
        <v>51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105</v>
      </c>
      <c r="E62" s="0" t="n">
        <v>5000</v>
      </c>
      <c r="F62" s="0" t="n">
        <v>2000</v>
      </c>
      <c r="G62" s="0" t="n">
        <v>500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105</v>
      </c>
      <c r="E63" s="0" t="n">
        <v>20000</v>
      </c>
      <c r="F63" s="0" t="n">
        <v>8000</v>
      </c>
      <c r="G63" s="0" t="n">
        <v>2000</v>
      </c>
      <c r="H63" s="0" t="s">
        <v>17</v>
      </c>
    </row>
    <row r="64" customFormat="false" ht="15" hidden="false" customHeight="false" outlineLevel="0" collapsed="false">
      <c r="B64" s="0" t="s">
        <v>141</v>
      </c>
      <c r="C64" s="0" t="s">
        <v>105</v>
      </c>
      <c r="E64" s="0" t="n">
        <v>50000</v>
      </c>
      <c r="F64" s="0" t="n">
        <v>20000</v>
      </c>
      <c r="G64" s="0" t="n">
        <v>5000</v>
      </c>
      <c r="H64" s="0" t="s">
        <v>17</v>
      </c>
    </row>
    <row r="65" customFormat="false" ht="15" hidden="false" customHeight="false" outlineLevel="0" collapsed="false">
      <c r="B65" s="0" t="s">
        <v>142</v>
      </c>
      <c r="C65" s="0" t="s">
        <v>105</v>
      </c>
      <c r="E65" s="0" t="n">
        <v>100000</v>
      </c>
      <c r="F65" s="0" t="n">
        <v>40000</v>
      </c>
      <c r="G65" s="0" t="n">
        <v>8000</v>
      </c>
      <c r="H65" s="0" t="s">
        <v>17</v>
      </c>
    </row>
    <row r="66" customFormat="false" ht="15" hidden="false" customHeight="false" outlineLevel="0" collapsed="false">
      <c r="B66" s="0" t="s">
        <v>143</v>
      </c>
      <c r="C66" s="0" t="s">
        <v>105</v>
      </c>
      <c r="E66" s="0" t="n">
        <v>150000</v>
      </c>
      <c r="F66" s="0" t="n">
        <v>60000</v>
      </c>
      <c r="G66" s="0" t="n">
        <v>10000</v>
      </c>
      <c r="H66" s="0" t="s">
        <v>17</v>
      </c>
    </row>
    <row r="67" customFormat="false" ht="15" hidden="false" customHeight="false" outlineLevel="0" collapsed="false">
      <c r="A67" s="0" t="s">
        <v>144</v>
      </c>
      <c r="B67" s="0" t="s">
        <v>145</v>
      </c>
      <c r="C67" s="0" t="s">
        <v>146</v>
      </c>
      <c r="E67" s="0" t="n">
        <v>20</v>
      </c>
      <c r="F67" s="0" t="n">
        <v>12</v>
      </c>
      <c r="G67" s="0" t="n">
        <v>6</v>
      </c>
      <c r="H67" s="0" t="s">
        <v>17</v>
      </c>
    </row>
    <row r="68" customFormat="false" ht="15" hidden="false" customHeight="false" outlineLevel="0" collapsed="false">
      <c r="A68" s="0" t="s">
        <v>147</v>
      </c>
      <c r="B68" s="0" t="s">
        <v>148</v>
      </c>
      <c r="C68" s="0" t="s">
        <v>146</v>
      </c>
      <c r="D68" s="0" t="n">
        <v>5</v>
      </c>
      <c r="H68" s="0" t="s">
        <v>149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33</v>
      </c>
      <c r="E69" s="0" t="n">
        <v>0.4</v>
      </c>
      <c r="F69" s="0" t="n">
        <v>0.3</v>
      </c>
      <c r="G69" s="0" t="n">
        <v>0.2</v>
      </c>
      <c r="H69" s="0" t="s">
        <v>17</v>
      </c>
    </row>
    <row r="70" customFormat="false" ht="15" hidden="false" customHeight="false" outlineLevel="0" collapsed="false">
      <c r="A70" s="0" t="s">
        <v>152</v>
      </c>
      <c r="B70" s="0" t="s">
        <v>153</v>
      </c>
      <c r="C70" s="0" t="s">
        <v>154</v>
      </c>
      <c r="E70" s="0" t="n">
        <v>2000</v>
      </c>
      <c r="F70" s="0" t="n">
        <v>4000</v>
      </c>
      <c r="G70" s="0" t="n">
        <v>8000</v>
      </c>
      <c r="H70" s="0" t="s">
        <v>17</v>
      </c>
    </row>
    <row r="71" customFormat="false" ht="15" hidden="false" customHeight="false" outlineLevel="0" collapsed="false">
      <c r="A71" s="0" t="s">
        <v>155</v>
      </c>
      <c r="B71" s="0" t="s">
        <v>156</v>
      </c>
      <c r="C71" s="0" t="s">
        <v>154</v>
      </c>
      <c r="E71" s="0" t="n">
        <v>20000</v>
      </c>
      <c r="F71" s="0" t="n">
        <v>40000</v>
      </c>
      <c r="G71" s="0" t="n">
        <v>80000</v>
      </c>
      <c r="H71" s="0" t="s">
        <v>17</v>
      </c>
    </row>
    <row r="72" customFormat="false" ht="15" hidden="false" customHeight="false" outlineLevel="0" collapsed="false">
      <c r="A72" s="0" t="s">
        <v>157</v>
      </c>
      <c r="B72" s="0" t="s">
        <v>158</v>
      </c>
      <c r="C72" s="0" t="s">
        <v>154</v>
      </c>
      <c r="D72" s="0" t="n">
        <v>5000</v>
      </c>
      <c r="H72" s="0" t="s">
        <v>159</v>
      </c>
    </row>
    <row r="73" customFormat="false" ht="15" hidden="false" customHeight="false" outlineLevel="0" collapsed="false">
      <c r="A73" s="0" t="s">
        <v>160</v>
      </c>
      <c r="B73" s="0" t="s">
        <v>161</v>
      </c>
      <c r="C73" s="0" t="s">
        <v>154</v>
      </c>
      <c r="D73" s="0" t="n">
        <v>40000</v>
      </c>
      <c r="H73" s="0" t="s">
        <v>159</v>
      </c>
    </row>
    <row r="74" customFormat="false" ht="15" hidden="false" customHeight="false" outlineLevel="0" collapsed="false">
      <c r="A74" s="0" t="s">
        <v>162</v>
      </c>
      <c r="B74" s="0" t="s">
        <v>163</v>
      </c>
      <c r="C74" s="0" t="s">
        <v>164</v>
      </c>
      <c r="D74" s="0" t="n">
        <v>0.04</v>
      </c>
      <c r="H74" s="0" t="s">
        <v>159</v>
      </c>
    </row>
    <row r="76" customFormat="false" ht="15" hidden="false" customHeight="false" outlineLevel="0" collapsed="false">
      <c r="A76" s="1" t="s">
        <v>165</v>
      </c>
    </row>
    <row r="77" customFormat="false" ht="15" hidden="false" customHeight="false" outlineLevel="0" collapsed="false">
      <c r="A77" s="0" t="s">
        <v>166</v>
      </c>
      <c r="B77" s="0" t="s">
        <v>167</v>
      </c>
      <c r="C77" s="0" t="s">
        <v>168</v>
      </c>
      <c r="D77" s="0" t="n">
        <v>130</v>
      </c>
      <c r="H77" s="0" t="s">
        <v>169</v>
      </c>
    </row>
    <row r="78" customFormat="false" ht="15" hidden="false" customHeight="false" outlineLevel="0" collapsed="false">
      <c r="A78" s="0" t="s">
        <v>170</v>
      </c>
      <c r="B78" s="0" t="s">
        <v>171</v>
      </c>
      <c r="C78" s="0" t="s">
        <v>168</v>
      </c>
      <c r="D78" s="0" t="n">
        <v>10</v>
      </c>
      <c r="H78" s="0" t="s">
        <v>172</v>
      </c>
    </row>
    <row r="79" customFormat="false" ht="15" hidden="false" customHeight="false" outlineLevel="0" collapsed="false">
      <c r="A79" s="0" t="s">
        <v>173</v>
      </c>
      <c r="B79" s="0" t="s">
        <v>174</v>
      </c>
      <c r="C79" s="0" t="s">
        <v>168</v>
      </c>
      <c r="D79" s="0" t="n">
        <v>93</v>
      </c>
      <c r="H79" s="0" t="s">
        <v>169</v>
      </c>
    </row>
    <row r="80" customFormat="false" ht="15" hidden="false" customHeight="false" outlineLevel="0" collapsed="false">
      <c r="A80" s="0" t="s">
        <v>175</v>
      </c>
      <c r="B80" s="0" t="s">
        <v>176</v>
      </c>
      <c r="C80" s="0" t="s">
        <v>168</v>
      </c>
      <c r="D80" s="0" t="n">
        <v>3</v>
      </c>
      <c r="H80" s="0" t="s">
        <v>177</v>
      </c>
    </row>
    <row r="81" customFormat="false" ht="15" hidden="false" customHeight="false" outlineLevel="0" collapsed="false">
      <c r="A81" s="0" t="s">
        <v>178</v>
      </c>
      <c r="B81" s="0" t="s">
        <v>179</v>
      </c>
      <c r="C81" s="0" t="s">
        <v>168</v>
      </c>
      <c r="D81" s="0" t="n">
        <v>149</v>
      </c>
      <c r="H81" s="0" t="s">
        <v>180</v>
      </c>
    </row>
    <row r="82" customFormat="false" ht="15" hidden="false" customHeight="false" outlineLevel="0" collapsed="false">
      <c r="A82" s="0" t="s">
        <v>181</v>
      </c>
      <c r="B82" s="0" t="s">
        <v>182</v>
      </c>
      <c r="C82" s="0" t="s">
        <v>168</v>
      </c>
      <c r="D82" s="0" t="n">
        <v>32</v>
      </c>
      <c r="H82" s="0" t="s">
        <v>183</v>
      </c>
    </row>
    <row r="83" customFormat="false" ht="15" hidden="false" customHeight="false" outlineLevel="0" collapsed="false">
      <c r="A83" s="0" t="s">
        <v>184</v>
      </c>
      <c r="B83" s="0" t="s">
        <v>185</v>
      </c>
      <c r="C83" s="0" t="s">
        <v>168</v>
      </c>
      <c r="D83" s="0" t="n">
        <v>120</v>
      </c>
      <c r="H83" s="0" t="s">
        <v>186</v>
      </c>
    </row>
    <row r="84" customFormat="false" ht="15" hidden="false" customHeight="false" outlineLevel="0" collapsed="false">
      <c r="A84" s="0" t="s">
        <v>187</v>
      </c>
      <c r="B84" s="0" t="s">
        <v>188</v>
      </c>
      <c r="C84" s="0" t="s">
        <v>65</v>
      </c>
      <c r="E84" s="0" t="n">
        <v>3000</v>
      </c>
      <c r="F84" s="0" t="n">
        <v>2500</v>
      </c>
      <c r="G84" s="0" t="n">
        <v>1500</v>
      </c>
      <c r="H84" s="0" t="s">
        <v>159</v>
      </c>
    </row>
    <row r="85" customFormat="false" ht="15" hidden="false" customHeight="false" outlineLevel="0" collapsed="false">
      <c r="A85" s="0" t="s">
        <v>189</v>
      </c>
      <c r="B85" s="0" t="s">
        <v>190</v>
      </c>
      <c r="C85" s="0" t="s">
        <v>65</v>
      </c>
      <c r="D85" s="0" t="n">
        <v>200</v>
      </c>
      <c r="H85" s="0" t="s">
        <v>159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65</v>
      </c>
      <c r="D86" s="0" t="n">
        <v>500</v>
      </c>
      <c r="H86" s="0" t="s">
        <v>159</v>
      </c>
    </row>
    <row r="87" customFormat="false" ht="15" hidden="false" customHeight="false" outlineLevel="0" collapsed="false">
      <c r="A87" s="0" t="s">
        <v>193</v>
      </c>
      <c r="B87" s="0" t="s">
        <v>194</v>
      </c>
      <c r="C87" s="0" t="s">
        <v>65</v>
      </c>
      <c r="D87" s="0" t="n">
        <v>100</v>
      </c>
      <c r="H87" s="0" t="s">
        <v>159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197</v>
      </c>
      <c r="E88" s="0" t="n">
        <v>30000</v>
      </c>
      <c r="F88" s="0" t="n">
        <v>20000</v>
      </c>
      <c r="G88" s="0" t="n">
        <v>10000</v>
      </c>
      <c r="H88" s="0" t="s">
        <v>159</v>
      </c>
    </row>
    <row r="89" customFormat="false" ht="15" hidden="false" customHeight="false" outlineLevel="0" collapsed="false">
      <c r="A89" s="0" t="s">
        <v>198</v>
      </c>
      <c r="B89" s="0" t="s">
        <v>199</v>
      </c>
      <c r="C89" s="0" t="s">
        <v>65</v>
      </c>
      <c r="E89" s="0" t="n">
        <v>3000</v>
      </c>
      <c r="F89" s="0" t="n">
        <v>2500</v>
      </c>
      <c r="G89" s="0" t="n">
        <v>1500</v>
      </c>
      <c r="H89" s="0" t="s">
        <v>159</v>
      </c>
    </row>
    <row r="90" customFormat="false" ht="15" hidden="false" customHeight="false" outlineLevel="0" collapsed="false">
      <c r="A90" s="0" t="s">
        <v>200</v>
      </c>
      <c r="B90" s="0" t="s">
        <v>201</v>
      </c>
      <c r="C90" s="0" t="s">
        <v>105</v>
      </c>
      <c r="D90" s="0" t="n">
        <v>5000</v>
      </c>
      <c r="H90" s="0" t="s">
        <v>17</v>
      </c>
    </row>
    <row r="91" customFormat="false" ht="15" hidden="false" customHeight="false" outlineLevel="0" collapsed="false">
      <c r="A91" s="0" t="s">
        <v>202</v>
      </c>
      <c r="B91" s="0" t="s">
        <v>203</v>
      </c>
      <c r="C91" s="0" t="s">
        <v>33</v>
      </c>
      <c r="E91" s="0" t="n">
        <v>0.2</v>
      </c>
      <c r="F91" s="0" t="n">
        <v>0.1</v>
      </c>
      <c r="G91" s="0" t="n">
        <v>0.05</v>
      </c>
      <c r="H91" s="0" t="s">
        <v>17</v>
      </c>
    </row>
    <row r="92" customFormat="false" ht="15" hidden="false" customHeight="false" outlineLevel="0" collapsed="false">
      <c r="A92" s="0" t="s">
        <v>204</v>
      </c>
      <c r="B92" s="0" t="s">
        <v>205</v>
      </c>
      <c r="C92" s="0" t="s">
        <v>33</v>
      </c>
      <c r="E92" s="0" t="n">
        <v>0.1</v>
      </c>
      <c r="F92" s="0" t="n">
        <v>0.05</v>
      </c>
      <c r="G92" s="0" t="n">
        <v>0.02</v>
      </c>
      <c r="H92" s="0" t="s">
        <v>17</v>
      </c>
    </row>
    <row r="93" customFormat="false" ht="15" hidden="false" customHeight="false" outlineLevel="0" collapsed="false">
      <c r="A93" s="0" t="s">
        <v>206</v>
      </c>
      <c r="B93" s="0" t="s">
        <v>207</v>
      </c>
      <c r="C93" s="0" t="s">
        <v>33</v>
      </c>
      <c r="E93" s="0" t="n">
        <v>0.4</v>
      </c>
      <c r="F93" s="0" t="n">
        <v>0.3</v>
      </c>
      <c r="G93" s="0" t="n">
        <v>0.2</v>
      </c>
      <c r="H93" s="0" t="s">
        <v>17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33</v>
      </c>
      <c r="E94" s="0" t="n">
        <v>0.08</v>
      </c>
      <c r="F94" s="0" t="n">
        <v>0.04</v>
      </c>
      <c r="G94" s="0" t="n">
        <v>0.02</v>
      </c>
      <c r="H94" s="0" t="s">
        <v>17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33</v>
      </c>
      <c r="E95" s="0" t="n">
        <v>0.1</v>
      </c>
      <c r="F95" s="0" t="n">
        <v>0.06</v>
      </c>
      <c r="G95" s="0" t="n">
        <v>0.03</v>
      </c>
      <c r="H95" s="0" t="s">
        <v>17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33</v>
      </c>
      <c r="E96" s="0" t="n">
        <v>0.05</v>
      </c>
      <c r="F96" s="0" t="n">
        <v>0.02</v>
      </c>
      <c r="G96" s="0" t="n">
        <v>0.01</v>
      </c>
      <c r="H96" s="0" t="s">
        <v>17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33</v>
      </c>
      <c r="E97" s="0" t="n">
        <v>0.1</v>
      </c>
      <c r="F97" s="0" t="n">
        <v>0.15</v>
      </c>
      <c r="G97" s="0" t="n">
        <v>0.25</v>
      </c>
      <c r="H97" s="0" t="s">
        <v>17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33</v>
      </c>
      <c r="E98" s="0" t="n">
        <v>0.15</v>
      </c>
      <c r="F98" s="0" t="n">
        <v>0.2</v>
      </c>
      <c r="G98" s="0" t="n">
        <v>0.3</v>
      </c>
      <c r="H98" s="0" t="s">
        <v>17</v>
      </c>
    </row>
    <row r="99" customFormat="false" ht="15" hidden="false" customHeight="false" outlineLevel="0" collapsed="false">
      <c r="A99" s="0" t="s">
        <v>218</v>
      </c>
      <c r="B99" s="0" t="s">
        <v>219</v>
      </c>
      <c r="C99" s="0" t="s">
        <v>33</v>
      </c>
      <c r="E99" s="0" t="n">
        <v>0</v>
      </c>
      <c r="F99" s="0" t="n">
        <v>0.1</v>
      </c>
      <c r="G99" s="0" t="n">
        <v>0.2</v>
      </c>
      <c r="H99" s="0" t="s">
        <v>17</v>
      </c>
    </row>
    <row r="100" customFormat="false" ht="15" hidden="false" customHeight="false" outlineLevel="0" collapsed="false">
      <c r="A100" s="0" t="s">
        <v>220</v>
      </c>
      <c r="B100" s="0" t="s">
        <v>221</v>
      </c>
      <c r="C100" s="0" t="s">
        <v>33</v>
      </c>
      <c r="E100" s="0" t="n">
        <v>0.05</v>
      </c>
      <c r="F100" s="0" t="n">
        <v>0.1</v>
      </c>
      <c r="G100" s="0" t="n">
        <v>0.15</v>
      </c>
      <c r="H100" s="0" t="s">
        <v>17</v>
      </c>
    </row>
    <row r="101" customFormat="false" ht="15" hidden="false" customHeight="false" outlineLevel="0" collapsed="false">
      <c r="A101" s="0" t="s">
        <v>222</v>
      </c>
      <c r="B101" s="0" t="s">
        <v>223</v>
      </c>
      <c r="C101" s="0" t="s">
        <v>33</v>
      </c>
      <c r="E101" s="0" t="n">
        <v>0.15</v>
      </c>
      <c r="F101" s="0" t="n">
        <v>0.2</v>
      </c>
      <c r="G101" s="0" t="n">
        <v>0.3</v>
      </c>
      <c r="H101" s="0" t="s">
        <v>17</v>
      </c>
    </row>
    <row r="103" customFormat="false" ht="15" hidden="false" customHeight="false" outlineLevel="0" collapsed="false">
      <c r="A103" s="1" t="s">
        <v>224</v>
      </c>
    </row>
    <row r="104" customFormat="false" ht="15" hidden="false" customHeight="false" outlineLevel="0" collapsed="false">
      <c r="A104" s="0" t="s">
        <v>225</v>
      </c>
      <c r="B104" s="0" t="s">
        <v>226</v>
      </c>
      <c r="C104" s="0" t="s">
        <v>227</v>
      </c>
      <c r="D104" s="0" t="n">
        <v>1</v>
      </c>
      <c r="H104" s="0" t="s">
        <v>21</v>
      </c>
    </row>
    <row r="105" customFormat="false" ht="15" hidden="false" customHeight="false" outlineLevel="0" collapsed="false">
      <c r="A105" s="0" t="s">
        <v>228</v>
      </c>
      <c r="B105" s="0" t="s">
        <v>229</v>
      </c>
      <c r="C105" s="0" t="s">
        <v>227</v>
      </c>
      <c r="D105" s="0" t="n">
        <v>1</v>
      </c>
      <c r="H105" s="0" t="s">
        <v>21</v>
      </c>
    </row>
    <row r="106" customFormat="false" ht="15" hidden="false" customHeight="false" outlineLevel="0" collapsed="false">
      <c r="A106" s="0" t="s">
        <v>230</v>
      </c>
      <c r="B106" s="0" t="s">
        <v>231</v>
      </c>
      <c r="C106" s="0" t="s">
        <v>227</v>
      </c>
      <c r="D106" s="0" t="n">
        <v>1</v>
      </c>
      <c r="H10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232</v>
      </c>
      <c r="B1" s="1" t="s">
        <v>233</v>
      </c>
      <c r="C1" s="1" t="s">
        <v>234</v>
      </c>
      <c r="D1" s="1" t="s">
        <v>235</v>
      </c>
    </row>
    <row r="2" customFormat="false" ht="15" hidden="false" customHeight="false" outlineLevel="0" collapsed="false">
      <c r="A2" s="0" t="s">
        <v>236</v>
      </c>
      <c r="B2" s="0" t="n">
        <f aca="false">Optimista!B74</f>
        <v>833352.607260761</v>
      </c>
      <c r="C2" s="0" t="n">
        <f aca="false">Neutral!B74</f>
        <v>63934.7785693904</v>
      </c>
      <c r="D2" s="0" t="n">
        <f aca="false">Pesimista!B74</f>
        <v>-94162.2870130552</v>
      </c>
    </row>
    <row r="3" customFormat="false" ht="15" hidden="false" customHeight="false" outlineLevel="0" collapsed="false">
      <c r="A3" s="0" t="s">
        <v>237</v>
      </c>
      <c r="B3" s="2" t="n">
        <f aca="false">Optimista!B75</f>
        <v>55.5120890005778</v>
      </c>
      <c r="C3" s="2" t="n">
        <f aca="false">Neutral!B75</f>
        <v>0.725481790486073</v>
      </c>
      <c r="D3" s="2" t="str">
        <f aca="false">Pesimista!B75</f>
        <v>no definida</v>
      </c>
    </row>
    <row r="4" customFormat="false" ht="15" hidden="false" customHeight="false" outlineLevel="0" collapsed="false">
      <c r="A4" s="0" t="s">
        <v>238</v>
      </c>
      <c r="B4" s="0" t="n">
        <f aca="false">Optimista!B76</f>
        <v>0.0184703222077383</v>
      </c>
      <c r="C4" s="0" t="n">
        <f aca="false">Neutral!B76</f>
        <v>2.93218828176455</v>
      </c>
      <c r="D4" s="0" t="str">
        <f aca="false">Pesimista!B76</f>
        <v>no se recupera</v>
      </c>
    </row>
    <row r="5" customFormat="false" ht="15" hidden="false" customHeight="false" outlineLevel="0" collapsed="false">
      <c r="A5" s="0" t="s">
        <v>239</v>
      </c>
      <c r="B5" s="0" t="n">
        <f aca="false">Optimista!B77</f>
        <v>0.0230879027596729</v>
      </c>
      <c r="C5" s="0" t="n">
        <f aca="false">Neutral!B77</f>
        <v>3.46225271364738</v>
      </c>
      <c r="D5" s="0" t="str">
        <f aca="false">Pesimista!B77</f>
        <v>no se recupera</v>
      </c>
    </row>
    <row r="6" customFormat="false" ht="15" hidden="false" customHeight="false" outlineLevel="0" collapsed="false">
      <c r="A6" s="0" t="s">
        <v>240</v>
      </c>
      <c r="B6" s="0" t="n">
        <f aca="false">Optimista!B80</f>
        <v>17</v>
      </c>
      <c r="C6" s="0" t="n">
        <f aca="false">Neutral!B80</f>
        <v>23</v>
      </c>
      <c r="D6" s="0" t="n">
        <f aca="false">Pesimista!B80</f>
        <v>21</v>
      </c>
    </row>
    <row r="7" customFormat="false" ht="15" hidden="false" customHeight="false" outlineLevel="0" collapsed="false">
      <c r="A7" s="0" t="s">
        <v>241</v>
      </c>
      <c r="B7" s="0" t="n">
        <f aca="false">Optimista!B79</f>
        <v>10781.4432989691</v>
      </c>
      <c r="C7" s="0" t="n">
        <f aca="false">Neutral!B79</f>
        <v>8901.20481927711</v>
      </c>
      <c r="D7" s="0" t="n">
        <f aca="false">Pesimista!B79</f>
        <v>5600</v>
      </c>
    </row>
    <row r="8" customFormat="false" ht="15" hidden="false" customHeight="false" outlineLevel="0" collapsed="false">
      <c r="A8" s="0" t="s">
        <v>242</v>
      </c>
      <c r="B8" s="0" t="n">
        <f aca="false">Optimista!B78</f>
        <v>1609255.92770156</v>
      </c>
      <c r="C8" s="0" t="n">
        <f aca="false">Neutral!B78</f>
        <v>199500.125116803</v>
      </c>
      <c r="D8" s="0" t="n">
        <f aca="false">Pesimista!B78</f>
        <v>-94162.2870130552</v>
      </c>
    </row>
    <row r="10" customFormat="false" ht="15" hidden="false" customHeight="false" outlineLevel="0" collapsed="false">
      <c r="A10" s="1" t="s">
        <v>243</v>
      </c>
    </row>
    <row r="11" customFormat="false" ht="15" hidden="false" customHeight="false" outlineLevel="0" collapsed="false">
      <c r="A11" s="0" t="s">
        <v>244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245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246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247</v>
      </c>
    </row>
    <row r="16" customFormat="false" ht="15" hidden="false" customHeight="false" outlineLevel="0" collapsed="false">
      <c r="A16" s="0" t="s">
        <v>248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249</v>
      </c>
      <c r="B17" s="0" t="n">
        <f aca="false">tasa_capm</f>
        <v>0.1911</v>
      </c>
    </row>
    <row r="19" customFormat="false" ht="15" hidden="false" customHeight="false" outlineLevel="0" collapsed="false">
      <c r="A19" s="1" t="s">
        <v>250</v>
      </c>
      <c r="B19" s="0" t="s">
        <v>233</v>
      </c>
      <c r="C19" s="0" t="s">
        <v>234</v>
      </c>
      <c r="D19" s="0" t="s">
        <v>235</v>
      </c>
    </row>
    <row r="20" customFormat="false" ht="15" hidden="false" customHeight="false" outlineLevel="0" collapsed="false">
      <c r="A20" s="0" t="s">
        <v>251</v>
      </c>
      <c r="B20" s="0" t="n">
        <f aca="false">cuota_intermedia*(1-INDEX(tasa_reuso,1,1))*INDEX(costo_analisis,1,1)*sens_costo_analisis</f>
        <v>38.232</v>
      </c>
      <c r="C20" s="0" t="n">
        <f aca="false">cuota_intermedia*(1-INDEX(tasa_reuso,1,2))*INDEX(costo_analisis,1,2)*sens_costo_analisis</f>
        <v>86.254</v>
      </c>
      <c r="D20" s="0" t="n">
        <f aca="false">cuota_intermedia*(1-INDEX(tasa_reuso,1,3))*INDEX(costo_analisis,1,3)*sens_costo_analisis</f>
        <v>151.856</v>
      </c>
    </row>
    <row r="21" customFormat="false" ht="15" hidden="false" customHeight="false" outlineLevel="0" collapsed="false">
      <c r="A21" s="0" t="s">
        <v>252</v>
      </c>
      <c r="B21" s="0" t="n">
        <f aca="false">precio_medios_chicos*sens_precios-cuota_intermedia*(1-INDEX(tasa_reuso,1,1))*INDEX(costo_analisis,1,1)*sens_costo_analisis</f>
        <v>161.768</v>
      </c>
      <c r="C21" s="0" t="n">
        <f aca="false">precio_medios_chicos*sens_precios-cuota_intermedia*(1-INDEX(tasa_reuso,1,2))*INDEX(costo_analisis,1,2)*sens_costo_analisis</f>
        <v>113.746</v>
      </c>
      <c r="D21" s="0" t="n">
        <f aca="false">precio_medios_chicos*sens_precios-cuota_intermedia*(1-INDEX(tasa_reuso,1,3))*INDEX(costo_analisis,1,3)*sens_costo_analisis</f>
        <v>48.144</v>
      </c>
    </row>
    <row r="22" customFormat="false" ht="15" hidden="false" customHeight="false" outlineLevel="0" collapsed="false">
      <c r="A22" s="0" t="s">
        <v>253</v>
      </c>
      <c r="B22" s="0" t="n">
        <f aca="false">cuota_superior*(1-INDEX(tasa_reuso,1,1))*INDEX(costo_analisis,1,1)*sens_costo_analisis</f>
        <v>305.856</v>
      </c>
      <c r="C22" s="0" t="n">
        <f aca="false">cuota_superior*(1-INDEX(tasa_reuso,1,2))*INDEX(costo_analisis,1,2)*sens_costo_analisis</f>
        <v>690.032</v>
      </c>
      <c r="D22" s="0" t="n">
        <f aca="false">cuota_superior*(1-INDEX(tasa_reuso,1,3))*INDEX(costo_analisis,1,3)*sens_costo_analisis</f>
        <v>1214.848</v>
      </c>
    </row>
    <row r="23" customFormat="false" ht="15" hidden="false" customHeight="false" outlineLevel="0" collapsed="false">
      <c r="A23" s="0" t="s">
        <v>254</v>
      </c>
      <c r="B23" s="0" t="n">
        <f aca="false">INDEX(precio_medios_grandes,1,1)*sens_precios-cuota_superior*(1-INDEX(tasa_reuso,1,1))*INDEX(costo_analisis,1,1)*sens_costo_analisis</f>
        <v>2694.144</v>
      </c>
      <c r="C23" s="0" t="n">
        <f aca="false">INDEX(precio_medios_grandes,1,2)*sens_precios-cuota_superior*(1-INDEX(tasa_reuso,1,2))*INDEX(costo_analisis,1,2)*sens_costo_analisis</f>
        <v>1809.968</v>
      </c>
      <c r="D23" s="0" t="n">
        <f aca="false">INDEX(precio_medios_grandes,1,3)*sens_precios-cuota_superior*(1-INDEX(tasa_reuso,1,3))*INDEX(costo_analisis,1,3)*sens_costo_analisis</f>
        <v>285.152</v>
      </c>
    </row>
    <row r="25" customFormat="false" ht="15" hidden="false" customHeight="false" outlineLevel="0" collapsed="false">
      <c r="A25" s="1" t="s">
        <v>255</v>
      </c>
      <c r="B25" s="0" t="s">
        <v>256</v>
      </c>
      <c r="C25" s="0" t="s">
        <v>257</v>
      </c>
      <c r="D25" s="0" t="s">
        <v>258</v>
      </c>
      <c r="E25" s="0" t="s">
        <v>259</v>
      </c>
      <c r="F25" s="0" t="s">
        <v>260</v>
      </c>
      <c r="G25" s="0" t="s">
        <v>261</v>
      </c>
      <c r="H25" s="0" t="s">
        <v>262</v>
      </c>
    </row>
    <row r="26" customFormat="false" ht="15" hidden="false" customHeight="false" outlineLevel="0" collapsed="false">
      <c r="A26" s="0" t="s">
        <v>263</v>
      </c>
      <c r="B26" s="0" t="n">
        <f aca="false">SUM(Neutral!C50:G50)/(SUM(Neutral!C12:G12)+SUM(Neutral!C17:G17)+SUM(Neutral!C22:G22)+SUM(Neutral!C27:G27)+SUM(Neutral!C32:G32))</f>
        <v>740.740740740741</v>
      </c>
    </row>
    <row r="27" customFormat="false" ht="15" hidden="false" customHeight="false" outlineLevel="0" collapsed="false">
      <c r="A27" s="0" t="s">
        <v>264</v>
      </c>
      <c r="B27" s="0" t="n">
        <f aca="false">INDEX(precio_medios_grandes,1,2)*sens_precios</f>
        <v>2500</v>
      </c>
      <c r="C27" s="0" t="n">
        <f aca="false">MIN(INDEX(consultas_ent_mes,1,2),cuota_superior)*(1-INDEX(tasa_reuso,1,2))*INDEX(costo_analisis,1,2)*sens_costo_analisis</f>
        <v>690.032</v>
      </c>
      <c r="D27" s="0" t="n">
        <f aca="false">B27-C27</f>
        <v>1809.968</v>
      </c>
      <c r="E27" s="0" t="n">
        <f aca="false">INDEX(churn_medios_grandes,1,2)</f>
        <v>0.15</v>
      </c>
      <c r="F27" s="0" t="n">
        <f aca="false">D27*meses_anio/E27</f>
        <v>144797.44</v>
      </c>
      <c r="G27" s="0" t="n">
        <f aca="false">F27/$B$26</f>
        <v>195.476544</v>
      </c>
      <c r="H27" s="0" t="n">
        <f aca="false">$B$26/D27</f>
        <v>0.40925626350341</v>
      </c>
    </row>
    <row r="28" customFormat="false" ht="15" hidden="false" customHeight="false" outlineLevel="0" collapsed="false">
      <c r="A28" s="0" t="s">
        <v>265</v>
      </c>
      <c r="B28" s="0" t="n">
        <f aca="false">precio_medios_chicos*sens_precios</f>
        <v>200</v>
      </c>
      <c r="C28" s="0" t="n">
        <f aca="false">MIN(INDEX(consultas_pro_mes,1,2),cuota_intermedia)*(1-INDEX(tasa_reuso,1,2))*INDEX(costo_analisis,1,2)*sens_costo_analisis</f>
        <v>69.0032</v>
      </c>
      <c r="D28" s="0" t="n">
        <f aca="false">B28-C28</f>
        <v>130.9968</v>
      </c>
      <c r="E28" s="0" t="n">
        <f aca="false">INDEX(churn_medios_chicos,1,2)</f>
        <v>0.2</v>
      </c>
      <c r="F28" s="0" t="n">
        <f aca="false">D28*meses_anio/E28</f>
        <v>7859.808</v>
      </c>
      <c r="G28" s="0" t="n">
        <f aca="false">F28/$B$26</f>
        <v>10.6107408</v>
      </c>
      <c r="H28" s="0" t="n">
        <f aca="false">$B$26/D28</f>
        <v>5.6546476000997</v>
      </c>
    </row>
    <row r="29" customFormat="false" ht="15" hidden="false" customHeight="false" outlineLevel="0" collapsed="false">
      <c r="A29" s="0" t="s">
        <v>266</v>
      </c>
      <c r="B29" s="0" t="n">
        <f aca="false">precio_verificadores*sens_precios</f>
        <v>500</v>
      </c>
      <c r="C29" s="0" t="n">
        <f aca="false">MIN(INDEX(consultas_pro_mes,1,2),cuota_intermedia)*(1-INDEX(tasa_reuso,1,2))*INDEX(costo_analisis,1,2)*sens_costo_analisis</f>
        <v>69.0032</v>
      </c>
      <c r="D29" s="0" t="n">
        <f aca="false">B29-C29</f>
        <v>430.9968</v>
      </c>
      <c r="E29" s="0" t="n">
        <f aca="false">INDEX(churn_verificadores,1,2)</f>
        <v>0.1</v>
      </c>
      <c r="F29" s="0" t="n">
        <f aca="false">D29*meses_anio/E29</f>
        <v>51719.616</v>
      </c>
      <c r="G29" s="0" t="n">
        <f aca="false">F29/$B$26</f>
        <v>69.8214816</v>
      </c>
      <c r="H29" s="0" t="n">
        <f aca="false">$B$26/D29</f>
        <v>1.71866877141719</v>
      </c>
    </row>
    <row r="30" customFormat="false" ht="15" hidden="false" customHeight="false" outlineLevel="0" collapsed="false">
      <c r="A30" s="0" t="s">
        <v>267</v>
      </c>
      <c r="B30" s="0" t="n">
        <f aca="false">precio_universidades*sens_precios</f>
        <v>100</v>
      </c>
      <c r="C30" s="0" t="n">
        <f aca="false">0*(1-INDEX(tasa_reuso,1,2))*INDEX(costo_analisis,1,2)*sens_costo_analisis</f>
        <v>0</v>
      </c>
      <c r="D30" s="0" t="n">
        <f aca="false">B30-C30</f>
        <v>100</v>
      </c>
      <c r="E30" s="0" t="n">
        <f aca="false">INDEX(churn_universidades,1,2)</f>
        <v>0.1</v>
      </c>
      <c r="F30" s="0" t="n">
        <f aca="false">D30*meses_anio/E30</f>
        <v>12000</v>
      </c>
      <c r="G30" s="0" t="n">
        <f aca="false">F30/$B$26</f>
        <v>16.2</v>
      </c>
      <c r="H30" s="0" t="n">
        <f aca="false">$B$26/D30</f>
        <v>7.40740740740741</v>
      </c>
    </row>
    <row r="31" customFormat="false" ht="15" hidden="false" customHeight="false" outlineLevel="0" collapsed="false">
      <c r="A31" s="0" t="s">
        <v>268</v>
      </c>
      <c r="B31" s="0" t="n">
        <f aca="false">INDEX(precio_agencias,1,2)*sens_precios</f>
        <v>2500</v>
      </c>
      <c r="C31" s="0" t="n">
        <f aca="false">MIN(INDEX(consultas_ent_mes,1,2),cuota_superior)*(1-INDEX(tasa_reuso,1,2))*INDEX(costo_analisis,1,2)*sens_costo_analisis</f>
        <v>690.032</v>
      </c>
      <c r="D31" s="0" t="n">
        <f aca="false">B31-C31</f>
        <v>1809.968</v>
      </c>
      <c r="E31" s="0" t="n">
        <f aca="false">INDEX(churn_agencias,1,2)</f>
        <v>0.2</v>
      </c>
      <c r="F31" s="0" t="n">
        <f aca="false">D31*meses_anio/E31</f>
        <v>108598.08</v>
      </c>
      <c r="G31" s="0" t="n">
        <f aca="false">F31/$B$26</f>
        <v>146.607408</v>
      </c>
      <c r="H31" s="0" t="n">
        <f aca="false">$B$26/D31</f>
        <v>0.40925626350341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0" t="s">
        <v>270</v>
      </c>
      <c r="B2" s="0" t="n">
        <v>1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5000</v>
      </c>
      <c r="D6" s="0" t="n">
        <f aca="false">INDEX(usuarios_activos,D$3,$B$2)</f>
        <v>20000</v>
      </c>
      <c r="E6" s="0" t="n">
        <f aca="false">INDEX(usuarios_activos,E$3,$B$2)</f>
        <v>50000</v>
      </c>
      <c r="F6" s="0" t="n">
        <f aca="false">INDEX(usuarios_activos,F$3,$B$2)</f>
        <v>100000</v>
      </c>
      <c r="G6" s="0" t="n">
        <f aca="false">INDEX(usuarios_activos,G$3,$B$2)</f>
        <v>150000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1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2</v>
      </c>
      <c r="D12" s="0" t="n">
        <f aca="false">D7*ROUND(INDEX(capt_medios_grandes,1,$B$2)*sens_captacion*(u_medios_grandes-D10),0)</f>
        <v>2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9</v>
      </c>
      <c r="D17" s="0" t="n">
        <f aca="false">D7*ROUND(INDEX(capt_medios_chicos,1,$B$2)*sens_captacion*(u_medios_chicos-D15),0)</f>
        <v>8</v>
      </c>
      <c r="E17" s="0" t="n">
        <f aca="false">E7*ROUND(INDEX(capt_medios_chicos,1,$B$2)*sens_captacion*(u_medios_chicos-E15),0)</f>
        <v>8</v>
      </c>
      <c r="F17" s="0" t="n">
        <f aca="false">F7*ROUND(INDEX(capt_medios_chicos,1,$B$2)*sens_captacion*(u_medios_chicos-F15),0)</f>
        <v>7</v>
      </c>
      <c r="G17" s="0" t="n">
        <f aca="false">G7*ROUND(INDEX(capt_medios_chicos,1,$B$2)*sens_captacion*(u_medios_chicos-G15),0)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1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0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12</v>
      </c>
      <c r="D27" s="0" t="n">
        <f aca="false">D7*ROUND(INDEX(capt_universidades,1,$B$2)*sens_captacion*(u_universidades-D25),0)</f>
        <v>11</v>
      </c>
      <c r="E27" s="0" t="n">
        <f aca="false">E7*ROUND(INDEX(capt_universidades,1,$B$2)*sens_captacion*(u_universidades-E25),0)</f>
        <v>10</v>
      </c>
      <c r="F27" s="0" t="n">
        <f aca="false">F7*ROUND(INDEX(capt_universidades,1,$B$2)*sens_captacion*(u_universidades-F25),0)</f>
        <v>9</v>
      </c>
      <c r="G27" s="0" t="n">
        <f aca="false">G7*ROUND(INDEX(capt_universidades,1,$B$2)*sens_captacion*(u_universidades-G25),0)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6</v>
      </c>
      <c r="D32" s="0" t="n">
        <f aca="false">D7*ROUND(INDEX(capt_agencias,1,$B$2)*sens_captacion*(u_agencias-D30),0)</f>
        <v>6</v>
      </c>
      <c r="E32" s="0" t="n">
        <f aca="false">E7*ROUND(INDEX(capt_agencias,1,$B$2)*sens_captacion*(u_agencias-E30),0)</f>
        <v>5</v>
      </c>
      <c r="F32" s="0" t="n">
        <f aca="false">F7*ROUND(INDEX(capt_agencias,1,$B$2)*sens_captacion*(u_agencias-F30),0)</f>
        <v>5</v>
      </c>
      <c r="G32" s="0" t="n">
        <f aca="false">G7*ROUND(INDEX(capt_agencias,1,$B$2)*sens_captacion*(u_agencias-G30),0)</f>
        <v>5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3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3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3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305.56</v>
      </c>
      <c r="D49" s="0" t="n">
        <f aca="false">meses_anio*(infra_base+infra_escalado*D6/ua_escalado)+dominio_anual</f>
        <v>485.56</v>
      </c>
      <c r="E49" s="0" t="n">
        <f aca="false">meses_anio*(infra_base+infra_escalado*E6/ua_escalado)+dominio_anual</f>
        <v>845.56</v>
      </c>
      <c r="F49" s="0" t="n">
        <f aca="false">meses_anio*(infra_base+infra_escalado*F6/ua_escalado)+dominio_anual</f>
        <v>1445.56</v>
      </c>
      <c r="G49" s="0" t="n">
        <f aca="false">meses_anio*(infra_base+infra_escalado*G6/ua_escalado)+dominio_anual</f>
        <v>2045.56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6000</v>
      </c>
      <c r="D50" s="0" t="n">
        <f aca="false">INDEX(marketing,D$3,$B$2)</f>
        <v>9000</v>
      </c>
      <c r="E50" s="0" t="n">
        <f aca="false">INDEX(marketing,E$3,$B$2)</f>
        <v>12000</v>
      </c>
      <c r="F50" s="0" t="n">
        <f aca="false">INDEX(marketing,F$3,$B$2)</f>
        <v>15000</v>
      </c>
      <c r="G50" s="0" t="n">
        <f aca="false">INDEX(marketing,G$3,$B$2)</f>
        <v>18000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2293.92</v>
      </c>
      <c r="D52" s="0" t="n">
        <f aca="false">D6*MIN(INDEX(analisis_por_ua_mes,1,$B$2),tope_mensual)*meses_anio*(1-INDEX(tasa_reuso,1,$B$2))*INDEX(costo_analisis,1,$B$2)*sens_costo_analisis</f>
        <v>9175.68</v>
      </c>
      <c r="E52" s="0" t="n">
        <f aca="false">E6*MIN(INDEX(analisis_por_ua_mes,1,$B$2),tope_mensual)*meses_anio*(1-INDEX(tasa_reuso,1,$B$2))*INDEX(costo_analisis,1,$B$2)*sens_costo_analisis</f>
        <v>22939.2</v>
      </c>
      <c r="F52" s="0" t="n">
        <f aca="false">F6*MIN(INDEX(analisis_por_ua_mes,1,$B$2),tope_mensual)*meses_anio*(1-INDEX(tasa_reuso,1,$B$2))*INDEX(costo_analisis,1,$B$2)*sens_costo_analisis</f>
        <v>45878.4</v>
      </c>
      <c r="G52" s="0" t="n">
        <f aca="false">G6*MIN(INDEX(analisis_por_ua_mes,1,$B$2),tope_mensual)*meses_anio*(1-INDEX(tasa_reuso,1,$B$2))*INDEX(costo_analisis,1,$B$2)*sens_costo_analisis</f>
        <v>68817.6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8258.112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23673.2544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35051.0976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42391.6416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47621.7792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47643.802</v>
      </c>
      <c r="D54" s="0" t="n">
        <f aca="false">SUM(D48:D53)</f>
        <v>74660.0149</v>
      </c>
      <c r="E54" s="0" t="n">
        <f aca="false">SUM(E48:E53)</f>
        <v>104777.654125</v>
      </c>
      <c r="F54" s="0" t="n">
        <f aca="false">SUM(F48:F53)</f>
        <v>140354.48795125</v>
      </c>
      <c r="G54" s="0" t="n">
        <f aca="false">SUM(G48:G53)</f>
        <v>173905.769868813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207356.198</v>
      </c>
      <c r="D57" s="0" t="n">
        <f aca="false">D45-D54</f>
        <v>398739.9851</v>
      </c>
      <c r="E57" s="0" t="n">
        <f aca="false">E45-E54</f>
        <v>686622.345875</v>
      </c>
      <c r="F57" s="0" t="n">
        <f aca="false">F45-F54</f>
        <v>708645.51204875</v>
      </c>
      <c r="G57" s="0" t="n">
        <f aca="false">G45-G54</f>
        <v>871894.230131188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0</v>
      </c>
      <c r="D58" s="0" t="n">
        <f aca="false">MIN(0,C58+D57)</f>
        <v>0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71974.2233</v>
      </c>
      <c r="D59" s="0" t="n">
        <f aca="false">alicuota_ganancias*MAX(0,C58+D57)</f>
        <v>139558.994785</v>
      </c>
      <c r="E59" s="0" t="n">
        <f aca="false">alicuota_ganancias*MAX(0,D58+E57)</f>
        <v>240317.82105625</v>
      </c>
      <c r="F59" s="0" t="n">
        <f aca="false">alicuota_ganancias*MAX(0,E58+F57)</f>
        <v>248025.929217062</v>
      </c>
      <c r="G59" s="0" t="n">
        <f aca="false">alicuota_ganancias*MAX(0,F58+G57)</f>
        <v>305162.980545916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42500</v>
      </c>
      <c r="D60" s="0" t="n">
        <f aca="false">meses_cobro/meses_anio*D45</f>
        <v>78900</v>
      </c>
      <c r="E60" s="0" t="n">
        <f aca="false">meses_cobro/meses_anio*E45</f>
        <v>131900</v>
      </c>
      <c r="F60" s="0" t="n">
        <f aca="false">meses_cobro/meses_anio*F45</f>
        <v>141500</v>
      </c>
      <c r="G60" s="0" t="n">
        <f aca="false">meses_cobro/meses_anio*G45</f>
        <v>174300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42500</v>
      </c>
      <c r="D61" s="0" t="n">
        <f aca="false">D60-C60</f>
        <v>36400</v>
      </c>
      <c r="E61" s="0" t="n">
        <f aca="false">E60-D60</f>
        <v>53000</v>
      </c>
      <c r="F61" s="0" t="n">
        <f aca="false">F60-E60</f>
        <v>9600</v>
      </c>
      <c r="G61" s="0" t="n">
        <f aca="false">G60-F60</f>
        <v>32800</v>
      </c>
    </row>
    <row r="62" customFormat="false" ht="15" hidden="false" customHeight="false" outlineLevel="0" collapsed="false">
      <c r="A62" s="0" t="s">
        <v>325</v>
      </c>
      <c r="G62" s="0" t="n">
        <f aca="false">G60</f>
        <v>174300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92881.9747</v>
      </c>
      <c r="D65" s="0" t="n">
        <f aca="false">D57-D59-D61+N(D62)</f>
        <v>222780.990315</v>
      </c>
      <c r="E65" s="0" t="n">
        <f aca="false">E57-E59-E61+N(E62)</f>
        <v>393304.52481875</v>
      </c>
      <c r="F65" s="0" t="n">
        <f aca="false">F57-F59-F61+N(F62)</f>
        <v>451019.582831688</v>
      </c>
      <c r="G65" s="0" t="n">
        <f aca="false">G57-G59-G61+N(G62)</f>
        <v>708231.249585272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74305.57976</v>
      </c>
      <c r="D67" s="0" t="n">
        <f aca="false">D65*D66</f>
        <v>142579.8338016</v>
      </c>
      <c r="E67" s="0" t="n">
        <f aca="false">E65*E66</f>
        <v>201371.9167072</v>
      </c>
      <c r="F67" s="0" t="n">
        <f aca="false">F65*F66</f>
        <v>184737.621127859</v>
      </c>
      <c r="G67" s="0" t="n">
        <f aca="false">G65*G66</f>
        <v>232073.215864102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91166.4147</v>
      </c>
      <c r="D68" s="0" t="n">
        <f aca="false">C68+D65</f>
        <v>313947.405015</v>
      </c>
      <c r="E68" s="0" t="n">
        <f aca="false">D68+E65</f>
        <v>707251.92983375</v>
      </c>
      <c r="F68" s="0" t="n">
        <f aca="false">E68+F65</f>
        <v>1158271.51266544</v>
      </c>
      <c r="G68" s="0" t="n">
        <f aca="false">F68+G65</f>
        <v>1866502.76225071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72590.01976</v>
      </c>
      <c r="D69" s="0" t="n">
        <f aca="false">C69+D67</f>
        <v>215169.8535616</v>
      </c>
      <c r="E69" s="0" t="n">
        <f aca="false">D69+E67</f>
        <v>416541.7702688</v>
      </c>
      <c r="F69" s="0" t="n">
        <f aca="false">E69+F67</f>
        <v>601279.391396659</v>
      </c>
      <c r="G69" s="0" t="n">
        <f aca="false">F69+G67</f>
        <v>833352.607260761</v>
      </c>
    </row>
    <row r="70" customFormat="false" ht="15" hidden="false" customHeight="false" outlineLevel="0" collapsed="false">
      <c r="A70" s="0" t="s">
        <v>332</v>
      </c>
      <c r="C70" s="0" t="n">
        <f aca="false">IF(AND(B68&lt;0,C68&gt;=0),C$3-1+(-B68)/C65,"")</f>
        <v>0.0184703222077383</v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n">
        <f aca="false">IF(AND(B69&lt;0,C69&gt;=0),C$3-1+(-B69)/C67,"")</f>
        <v>0.0230879027596729</v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833352.607260761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55.5120890005778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0.0184703222077383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0.0230879027596729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1609255.92770156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10781.4432989691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0" t="s">
        <v>270</v>
      </c>
      <c r="B2" s="0" t="n">
        <v>2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2000</v>
      </c>
      <c r="D6" s="0" t="n">
        <f aca="false">INDEX(usuarios_activos,D$3,$B$2)</f>
        <v>8000</v>
      </c>
      <c r="E6" s="0" t="n">
        <f aca="false">INDEX(usuarios_activos,E$3,$B$2)</f>
        <v>20000</v>
      </c>
      <c r="F6" s="0" t="n">
        <f aca="false">INDEX(usuarios_activos,F$3,$B$2)</f>
        <v>40000</v>
      </c>
      <c r="G6" s="0" t="n">
        <f aca="false">INDEX(usuarios_activos,G$3,$B$2)</f>
        <v>60000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1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5</v>
      </c>
      <c r="E17" s="0" t="n">
        <f aca="false">E7*ROUND(INDEX(capt_medios_chicos,1,$B$2)*sens_captacion*(u_medios_chicos-E15),0)</f>
        <v>4</v>
      </c>
      <c r="F17" s="0" t="n">
        <f aca="false">F7*ROUND(INDEX(capt_medios_chicos,1,$B$2)*sens_captacion*(u_medios_chicos-F15),0)</f>
        <v>4</v>
      </c>
      <c r="G17" s="0" t="n">
        <f aca="false">G7*ROUND(INDEX(capt_medios_chicos,1,$B$2)*sens_captacion*(u_medios_chicos-G15),0)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6</v>
      </c>
      <c r="E27" s="0" t="n">
        <f aca="false">E7*ROUND(INDEX(capt_universidades,1,$B$2)*sens_captacion*(u_universidades-E25),0)</f>
        <v>6</v>
      </c>
      <c r="F27" s="0" t="n">
        <f aca="false">F7*ROUND(INDEX(capt_universidades,1,$B$2)*sens_captacion*(u_universidades-F25),0)</f>
        <v>6</v>
      </c>
      <c r="G27" s="0" t="n">
        <f aca="false">G7*ROUND(INDEX(capt_universidades,1,$B$2)*sens_captacion*(u_universidades-G25),0)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2</v>
      </c>
      <c r="E32" s="0" t="n">
        <f aca="false">E7*ROUND(INDEX(capt_agencias,1,$B$2)*sens_captacion*(u_agencias-E30),0)</f>
        <v>2</v>
      </c>
      <c r="F32" s="0" t="n">
        <f aca="false">F7*ROUND(INDEX(capt_agencias,1,$B$2)*sens_captacion*(u_agencias-F30),0)</f>
        <v>2</v>
      </c>
      <c r="G32" s="0" t="n">
        <f aca="false">G7*ROUND(INDEX(capt_agencias,1,$B$2)*sens_captacion*(u_agencias-G30),0)</f>
        <v>2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2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2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269.56</v>
      </c>
      <c r="D49" s="0" t="n">
        <f aca="false">meses_anio*(infra_base+infra_escalado*D6/ua_escalado)+dominio_anual</f>
        <v>341.56</v>
      </c>
      <c r="E49" s="0" t="n">
        <f aca="false">meses_anio*(infra_base+infra_escalado*E6/ua_escalado)+dominio_anual</f>
        <v>485.56</v>
      </c>
      <c r="F49" s="0" t="n">
        <f aca="false">meses_anio*(infra_base+infra_escalado*F6/ua_escalado)+dominio_anual</f>
        <v>725.56</v>
      </c>
      <c r="G49" s="0" t="n">
        <f aca="false">meses_anio*(infra_base+infra_escalado*G6/ua_escalado)+dominio_anual</f>
        <v>965.56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4000</v>
      </c>
      <c r="D50" s="0" t="n">
        <f aca="false">INDEX(marketing,D$3,$B$2)</f>
        <v>6000</v>
      </c>
      <c r="E50" s="0" t="n">
        <f aca="false">INDEX(marketing,E$3,$B$2)</f>
        <v>8000</v>
      </c>
      <c r="F50" s="0" t="n">
        <f aca="false">INDEX(marketing,F$3,$B$2)</f>
        <v>10000</v>
      </c>
      <c r="G50" s="0" t="n">
        <f aca="false">INDEX(marketing,G$3,$B$2)</f>
        <v>12000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2070.096</v>
      </c>
      <c r="D52" s="0" t="n">
        <f aca="false">D6*MIN(INDEX(analisis_por_ua_mes,1,$B$2),tope_mensual)*meses_anio*(1-INDEX(tasa_reuso,1,$B$2))*INDEX(costo_analisis,1,$B$2)*sens_costo_analisis</f>
        <v>8280.384</v>
      </c>
      <c r="E52" s="0" t="n">
        <f aca="false">E6*MIN(INDEX(analisis_por_ua_mes,1,$B$2),tope_mensual)*meses_anio*(1-INDEX(tasa_reuso,1,$B$2))*INDEX(costo_analisis,1,$B$2)*sens_costo_analisis</f>
        <v>20700.96</v>
      </c>
      <c r="F52" s="0" t="n">
        <f aca="false">F6*MIN(INDEX(analisis_por_ua_mes,1,$B$2),tope_mensual)*meses_anio*(1-INDEX(tasa_reuso,1,$B$2))*INDEX(costo_analisis,1,$B$2)*sens_costo_analisis</f>
        <v>41401.92</v>
      </c>
      <c r="G52" s="0" t="n">
        <f aca="false">G6*MIN(INDEX(analisis_por_ua_mes,1,$B$2),tope_mensual)*meses_anio*(1-INDEX(tasa_reuso,1,$B$2))*INDEX(costo_analisis,1,$B$2)*sens_costo_analisis</f>
        <v>62102.88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14904.6912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43886.0352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67071.1104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85287.9552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37125.866</v>
      </c>
      <c r="D54" s="0" t="n">
        <f aca="false">SUM(D48:D53)</f>
        <v>61852.1557</v>
      </c>
      <c r="E54" s="0" t="n">
        <f aca="false">SUM(E48:E53)</f>
        <v>107014.351725</v>
      </c>
      <c r="F54" s="0" t="n">
        <f aca="false">SUM(F48:F53)</f>
        <v>154837.47675125</v>
      </c>
      <c r="G54" s="0" t="n">
        <f aca="false">SUM(G48:G53)</f>
        <v>197777.225868813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-37125.866</v>
      </c>
      <c r="D57" s="0" t="n">
        <f aca="false">D45-D54</f>
        <v>-4252.1557</v>
      </c>
      <c r="E57" s="0" t="n">
        <f aca="false">E45-E54</f>
        <v>102785.648275</v>
      </c>
      <c r="F57" s="0" t="n">
        <f aca="false">F45-F54</f>
        <v>104962.52324875</v>
      </c>
      <c r="G57" s="0" t="n">
        <f aca="false">G45-G54</f>
        <v>171622.774131188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-38841.426</v>
      </c>
      <c r="D58" s="0" t="n">
        <f aca="false">MIN(0,C58+D57)</f>
        <v>-43093.5817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20892.22330125</v>
      </c>
      <c r="F59" s="0" t="n">
        <f aca="false">alicuota_ganancias*MAX(0,E58+F57)</f>
        <v>36736.8831370625</v>
      </c>
      <c r="G59" s="0" t="n">
        <f aca="false">alicuota_ganancias*MAX(0,F58+G57)</f>
        <v>60067.9709459156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9600</v>
      </c>
      <c r="E60" s="0" t="n">
        <f aca="false">meses_cobro/meses_anio*E45</f>
        <v>34966.6666666667</v>
      </c>
      <c r="F60" s="0" t="n">
        <f aca="false">meses_cobro/meses_anio*F45</f>
        <v>43300</v>
      </c>
      <c r="G60" s="0" t="n">
        <f aca="false">meses_cobro/meses_anio*G45</f>
        <v>61566.6666666667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9600</v>
      </c>
      <c r="E61" s="0" t="n">
        <f aca="false">E60-D60</f>
        <v>25366.6666666667</v>
      </c>
      <c r="F61" s="0" t="n">
        <f aca="false">F60-E60</f>
        <v>8333.33333333334</v>
      </c>
      <c r="G61" s="0" t="n">
        <f aca="false">G60-F60</f>
        <v>18266.6666666667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61566.6666666667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-37125.866</v>
      </c>
      <c r="D65" s="0" t="n">
        <f aca="false">D57-D59-D61+N(D62)</f>
        <v>-13852.1557</v>
      </c>
      <c r="E65" s="0" t="n">
        <f aca="false">E57-E59-E61+N(E62)</f>
        <v>56526.7583070833</v>
      </c>
      <c r="F65" s="0" t="n">
        <f aca="false">F57-F59-F61+N(F62)</f>
        <v>59892.3067783542</v>
      </c>
      <c r="G65" s="0" t="n">
        <f aca="false">G57-G59-G61+N(G62)</f>
        <v>154854.803185272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-29700.6928</v>
      </c>
      <c r="D67" s="0" t="n">
        <f aca="false">D65*D66</f>
        <v>-8865.379648</v>
      </c>
      <c r="E67" s="0" t="n">
        <f aca="false">E65*E66</f>
        <v>28941.7002532267</v>
      </c>
      <c r="F67" s="0" t="n">
        <f aca="false">F65*F66</f>
        <v>24531.8888564139</v>
      </c>
      <c r="G67" s="0" t="n">
        <f aca="false">G65*G66</f>
        <v>50742.8219077499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-38841.426</v>
      </c>
      <c r="D68" s="0" t="n">
        <f aca="false">C68+D65</f>
        <v>-52693.5817</v>
      </c>
      <c r="E68" s="0" t="n">
        <f aca="false">D68+E65</f>
        <v>3833.17660708334</v>
      </c>
      <c r="F68" s="0" t="n">
        <f aca="false">E68+F65</f>
        <v>63725.4833854375</v>
      </c>
      <c r="G68" s="0" t="n">
        <f aca="false">F68+G65</f>
        <v>218580.286570709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-31416.2528</v>
      </c>
      <c r="D69" s="0" t="n">
        <f aca="false">C69+D67</f>
        <v>-40281.632448</v>
      </c>
      <c r="E69" s="0" t="n">
        <f aca="false">D69+E67</f>
        <v>-11339.9321947733</v>
      </c>
      <c r="F69" s="0" t="n">
        <f aca="false">E69+F67</f>
        <v>13191.9566616405</v>
      </c>
      <c r="G69" s="0" t="n">
        <f aca="false">F69+G67</f>
        <v>63934.7785693904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n">
        <f aca="false">IF(AND(D68&lt;0,E68&gt;=0),E$3-1+(-D68)/E65,"")</f>
        <v>2.93218828176455</v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n">
        <f aca="false">IF(AND(E69&lt;0,F69&gt;=0),F$3-1+(-E69)/F67,"")</f>
        <v>3.46225271364738</v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63934.7785693904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0.725481790486073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2.93218828176455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3.46225271364738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199500.125116803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8901.20481927711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0" t="s">
        <v>270</v>
      </c>
      <c r="B2" s="0" t="n">
        <v>3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</v>
      </c>
      <c r="D6" s="0" t="n">
        <f aca="false">INDEX(usuarios_activos,D$3,$B$2)</f>
        <v>2000</v>
      </c>
      <c r="E6" s="0" t="n">
        <f aca="false">INDEX(usuarios_activos,E$3,$B$2)</f>
        <v>5000</v>
      </c>
      <c r="F6" s="0" t="n">
        <f aca="false">INDEX(usuarios_activos,F$3,$B$2)</f>
        <v>8000</v>
      </c>
      <c r="G6" s="0" t="n">
        <f aca="false">INDEX(usuarios_activos,G$3,$B$2)</f>
        <v>10000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0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0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0</v>
      </c>
      <c r="G12" s="0" t="n">
        <f aca="false">G7*ROUND(INDEX(capt_medios_grandes,1,$B$2)*sens_captacion*(u_medios_grandes-G10),0)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0</v>
      </c>
      <c r="E17" s="0" t="n">
        <f aca="false">E7*ROUND(INDEX(capt_medios_chicos,1,$B$2)*sens_captacion*(u_medios_chicos-E15),0)</f>
        <v>2</v>
      </c>
      <c r="F17" s="0" t="n">
        <f aca="false">F7*ROUND(INDEX(capt_medios_chicos,1,$B$2)*sens_captacion*(u_medios_chicos-F15),0)</f>
        <v>2</v>
      </c>
      <c r="G17" s="0" t="n">
        <f aca="false">G7*ROUND(INDEX(capt_medios_chicos,1,$B$2)*sens_captacion*(u_medios_chicos-G15),0)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0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0</v>
      </c>
      <c r="E27" s="0" t="n">
        <f aca="false">E7*ROUND(INDEX(capt_universidades,1,$B$2)*sens_captacion*(u_universidades-E25),0)</f>
        <v>3</v>
      </c>
      <c r="F27" s="0" t="n">
        <f aca="false">F7*ROUND(INDEX(capt_universidades,1,$B$2)*sens_captacion*(u_universidades-F25),0)</f>
        <v>3</v>
      </c>
      <c r="G27" s="0" t="n">
        <f aca="false">G7*ROUND(INDEX(capt_universidades,1,$B$2)*sens_captacion*(u_universidades-G25),0)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0</v>
      </c>
      <c r="E32" s="0" t="n">
        <f aca="false">E7*ROUND(INDEX(capt_agencias,1,$B$2)*sens_captacion*(u_agencias-E30),0)</f>
        <v>1</v>
      </c>
      <c r="F32" s="0" t="n">
        <f aca="false">F7*ROUND(INDEX(capt_agencias,1,$B$2)*sens_captacion*(u_agencias-F30),0)</f>
        <v>1</v>
      </c>
      <c r="G32" s="0" t="n">
        <f aca="false">G7*ROUND(INDEX(capt_agencias,1,$B$2)*sens_captacion*(u_agencias-G30),0)</f>
        <v>1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1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1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251.56</v>
      </c>
      <c r="D49" s="0" t="n">
        <f aca="false">meses_anio*(infra_base+infra_escalado*D6/ua_escalado)+dominio_anual</f>
        <v>269.56</v>
      </c>
      <c r="E49" s="0" t="n">
        <f aca="false">meses_anio*(infra_base+infra_escalado*E6/ua_escalado)+dominio_anual</f>
        <v>305.56</v>
      </c>
      <c r="F49" s="0" t="n">
        <f aca="false">meses_anio*(infra_base+infra_escalado*F6/ua_escalado)+dominio_anual</f>
        <v>341.56</v>
      </c>
      <c r="G49" s="0" t="n">
        <f aca="false">meses_anio*(infra_base+infra_escalado*G6/ua_escalado)+dominio_anual</f>
        <v>365.56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2000</v>
      </c>
      <c r="D50" s="0" t="n">
        <f aca="false">INDEX(marketing,D$3,$B$2)</f>
        <v>3000</v>
      </c>
      <c r="E50" s="0" t="n">
        <f aca="false">INDEX(marketing,E$3,$B$2)</f>
        <v>4000</v>
      </c>
      <c r="F50" s="0" t="n">
        <f aca="false">INDEX(marketing,F$3,$B$2)</f>
        <v>5000</v>
      </c>
      <c r="G50" s="0" t="n">
        <f aca="false">INDEX(marketing,G$3,$B$2)</f>
        <v>6000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911.136</v>
      </c>
      <c r="D52" s="0" t="n">
        <f aca="false">D6*MIN(INDEX(analisis_por_ua_mes,1,$B$2),tope_mensual)*meses_anio*(1-INDEX(tasa_reuso,1,$B$2))*INDEX(costo_analisis,1,$B$2)*sens_costo_analisis</f>
        <v>3644.544</v>
      </c>
      <c r="E52" s="0" t="n">
        <f aca="false">E6*MIN(INDEX(analisis_por_ua_mes,1,$B$2),tope_mensual)*meses_anio*(1-INDEX(tasa_reuso,1,$B$2))*INDEX(costo_analisis,1,$B$2)*sens_costo_analisis</f>
        <v>9111.36</v>
      </c>
      <c r="F52" s="0" t="n">
        <f aca="false">F6*MIN(INDEX(analisis_por_ua_mes,1,$B$2),tope_mensual)*meses_anio*(1-INDEX(tasa_reuso,1,$B$2))*INDEX(costo_analisis,1,$B$2)*sens_costo_analisis</f>
        <v>14578.176</v>
      </c>
      <c r="G52" s="0" t="n">
        <f aca="false">G6*MIN(INDEX(analisis_por_ua_mes,1,$B$2),tope_mensual)*meses_anio*(1-INDEX(tasa_reuso,1,$B$2))*INDEX(costo_analisis,1,$B$2)*sens_costo_analisis</f>
        <v>18222.72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0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17311.584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42823.392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51934.752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33948.906</v>
      </c>
      <c r="D54" s="0" t="n">
        <f aca="false">SUM(D48:D53)</f>
        <v>39239.6245</v>
      </c>
      <c r="E54" s="0" t="n">
        <f aca="false">SUM(E48:E53)</f>
        <v>64670.300525</v>
      </c>
      <c r="F54" s="0" t="n">
        <f aca="false">SUM(F48:F53)</f>
        <v>98382.01435125</v>
      </c>
      <c r="G54" s="0" t="n">
        <f aca="false">SUM(G48:G53)</f>
        <v>113943.862668813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-33948.906</v>
      </c>
      <c r="D57" s="0" t="n">
        <f aca="false">D45-D54</f>
        <v>-39239.6245</v>
      </c>
      <c r="E57" s="0" t="n">
        <f aca="false">E45-E54</f>
        <v>-29470.300525</v>
      </c>
      <c r="F57" s="0" t="n">
        <f aca="false">F45-F54</f>
        <v>-35982.01435125</v>
      </c>
      <c r="G57" s="0" t="n">
        <f aca="false">G45-G54</f>
        <v>-27143.8626688125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-35664.466</v>
      </c>
      <c r="D58" s="0" t="n">
        <f aca="false">MIN(0,C58+D57)</f>
        <v>-74904.0905</v>
      </c>
      <c r="E58" s="0" t="n">
        <f aca="false">MIN(0,D58+E57)</f>
        <v>-104374.391025</v>
      </c>
      <c r="F58" s="0" t="n">
        <f aca="false">MIN(0,E58+F57)</f>
        <v>-140356.40537625</v>
      </c>
      <c r="G58" s="0" t="n">
        <f aca="false">MIN(0,F58+G57)</f>
        <v>-167500.268045063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0</v>
      </c>
      <c r="F59" s="0" t="n">
        <f aca="false">alicuota_ganancias*MAX(0,E58+F57)</f>
        <v>0</v>
      </c>
      <c r="G59" s="0" t="n">
        <f aca="false">alicuota_ganancias*MAX(0,F58+G57)</f>
        <v>0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0</v>
      </c>
      <c r="E60" s="0" t="n">
        <f aca="false">meses_cobro/meses_anio*E45</f>
        <v>5866.66666666667</v>
      </c>
      <c r="F60" s="0" t="n">
        <f aca="false">meses_cobro/meses_anio*F45</f>
        <v>10400</v>
      </c>
      <c r="G60" s="0" t="n">
        <f aca="false">meses_cobro/meses_anio*G45</f>
        <v>14466.6666666667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0</v>
      </c>
      <c r="E61" s="0" t="n">
        <f aca="false">E60-D60</f>
        <v>5866.66666666667</v>
      </c>
      <c r="F61" s="0" t="n">
        <f aca="false">F60-E60</f>
        <v>4533.33333333333</v>
      </c>
      <c r="G61" s="0" t="n">
        <f aca="false">G60-F60</f>
        <v>4066.66666666667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14466.6666666667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-33948.906</v>
      </c>
      <c r="D65" s="0" t="n">
        <f aca="false">D57-D59-D61+N(D62)</f>
        <v>-39239.6245</v>
      </c>
      <c r="E65" s="0" t="n">
        <f aca="false">E57-E59-E61+N(E62)</f>
        <v>-35336.9671916667</v>
      </c>
      <c r="F65" s="0" t="n">
        <f aca="false">F57-F59-F61+N(F62)</f>
        <v>-40515.3476845833</v>
      </c>
      <c r="G65" s="0" t="n">
        <f aca="false">G57-G59-G61+N(G62)</f>
        <v>-16743.8626688125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-27159.1248</v>
      </c>
      <c r="D67" s="0" t="n">
        <f aca="false">D65*D66</f>
        <v>-25113.35968</v>
      </c>
      <c r="E67" s="0" t="n">
        <f aca="false">E65*E66</f>
        <v>-18092.5272021333</v>
      </c>
      <c r="F67" s="0" t="n">
        <f aca="false">F65*F66</f>
        <v>-16595.0864116053</v>
      </c>
      <c r="G67" s="0" t="n">
        <f aca="false">G65*G66</f>
        <v>-5486.62891931648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-35664.466</v>
      </c>
      <c r="D68" s="0" t="n">
        <f aca="false">C68+D65</f>
        <v>-74904.0905</v>
      </c>
      <c r="E68" s="0" t="n">
        <f aca="false">D68+E65</f>
        <v>-110241.057691667</v>
      </c>
      <c r="F68" s="0" t="n">
        <f aca="false">E68+F65</f>
        <v>-150756.40537625</v>
      </c>
      <c r="G68" s="0" t="n">
        <f aca="false">F68+G65</f>
        <v>-167500.268045063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-28874.6848</v>
      </c>
      <c r="D69" s="0" t="n">
        <f aca="false">C69+D67</f>
        <v>-53988.04448</v>
      </c>
      <c r="E69" s="0" t="n">
        <f aca="false">D69+E67</f>
        <v>-72080.5716821334</v>
      </c>
      <c r="F69" s="0" t="n">
        <f aca="false">E69+F67</f>
        <v>-88675.6580937387</v>
      </c>
      <c r="G69" s="0" t="n">
        <f aca="false">F69+G67</f>
        <v>-94162.2870130552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-94162.2870130552</v>
      </c>
    </row>
    <row r="75" customFormat="false" ht="15" hidden="false" customHeight="false" outlineLevel="0" collapsed="false">
      <c r="A75" s="0" t="s">
        <v>237</v>
      </c>
      <c r="B75" s="2" t="str">
        <f aca="false">IFERROR(IRR(B65:G65),"no definida")</f>
        <v>no definida</v>
      </c>
    </row>
    <row r="76" customFormat="false" ht="15" hidden="false" customHeight="false" outlineLevel="0" collapsed="false">
      <c r="A76" s="0" t="s">
        <v>238</v>
      </c>
      <c r="B76" s="0" t="str">
        <f aca="false">IF(COUNT(C70:G70)=0,"no se recupera",MIN(C70:G70))</f>
        <v>no se recupera</v>
      </c>
    </row>
    <row r="77" customFormat="false" ht="15" hidden="false" customHeight="false" outlineLevel="0" collapsed="false">
      <c r="A77" s="0" t="s">
        <v>239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-94162.2870130552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5600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2026-10-25T00:03:10Z</dcterms:created>
  <dc:creator>openpyxl</dc:creator>
  <dc:description/>
  <dc:language>es-ES</dc:language>
  <cp:lastModifiedBy/>
  <dcterms:modified xsi:type="dcterms:W3CDTF">2026-10-25T00:03:10Z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