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Supuestos!$D$28</definedName>
    <definedName function="false" hidden="false" name="alicuota_ganancias" vbProcedure="false">Supuestos!$D$33</definedName>
    <definedName function="false" hidden="false" name="analisis_por_ua_mes" vbProcedure="false">Supuestos!$E$68:$G$68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anio_inicio_b2b" vbProcedure="false">Supuestos!$E$88:$G$88</definedName>
    <definedName function="false" hidden="false" name="busquedas" vbProcedure="false">Supuestos!$E$61:$G$61</definedName>
    <definedName function="false" hidden="false" name="capt_agencias" vbProcedure="false">Supuestos!$E$94:$G$94</definedName>
    <definedName function="false" hidden="false" name="capt_medios_chicos" vbProcedure="false">Supuestos!$E$90:$G$90</definedName>
    <definedName function="false" hidden="false" name="capt_medios_grandes" vbProcedure="false">Supuestos!$E$89:$G$89</definedName>
    <definedName function="false" hidden="false" name="capt_organismos" vbProcedure="false">Supuestos!$E$93:$G$93</definedName>
    <definedName function="false" hidden="false" name="capt_universidades" vbProcedure="false">Supuestos!$E$92:$G$92</definedName>
    <definedName function="false" hidden="false" name="capt_verificadores" vbProcedure="false">Supuestos!$E$91:$G$91</definedName>
    <definedName function="false" hidden="false" name="cargas_sociales" vbProcedure="false">Supuestos!$D$29</definedName>
    <definedName function="false" hidden="false" name="churn_agencias" vbProcedure="false">Supuestos!$E$99:$G$99</definedName>
    <definedName function="false" hidden="false" name="churn_medios_chicos" vbProcedure="false">Supuestos!$E$96:$G$96</definedName>
    <definedName function="false" hidden="false" name="churn_medios_grandes" vbProcedure="false">Supuestos!$E$95:$G$95</definedName>
    <definedName function="false" hidden="false" name="churn_universidades" vbProcedure="false">Supuestos!$E$98:$G$98</definedName>
    <definedName function="false" hidden="false" name="churn_verificadores" vbProcedure="false">Supuestos!$E$97:$G$97</definedName>
    <definedName function="false" hidden="false" name="consultas_ent_mes" vbProcedure="false">Supuestos!$E$72:$G$72</definedName>
    <definedName function="false" hidden="false" name="consultas_pro_mes" vbProcedure="false">Supuestos!$E$71:$G$71</definedName>
    <definedName function="false" hidden="false" name="costo_analisis" vbProcedure="false">Supuestos!$E$62:$G$62</definedName>
    <definedName function="false" hidden="false" name="crecimiento_perpetuo" vbProcedure="false">Supuestos!$D$21</definedName>
    <definedName function="false" hidden="false" name="crp_argentina" vbProcedure="false">Supuestos!$D$19</definedName>
    <definedName function="false" hidden="false" name="dominio_anual" vbProcedure="false">Supuestos!$D$47</definedName>
    <definedName function="false" hidden="false" name="erp_maduro" vbProcedure="false">Supuestos!$D$18</definedName>
    <definedName function="false" hidden="false" name="horizonte" vbProcedure="false">Supuestos!$D$5</definedName>
    <definedName function="false" hidden="false" name="infra_base" vbProcedure="false">Supuestos!$D$44</definedName>
    <definedName function="false" hidden="false" name="infra_escalado" vbProcedure="false">Supuestos!$D$45</definedName>
    <definedName function="false" hidden="false" name="inv_chrome_web_store" vbProcedure="false">Supuestos!$D$39</definedName>
    <definedName function="false" hidden="false" name="inv_dominio" vbProcedure="false">Supuestos!$D$38</definedName>
    <definedName function="false" hidden="false" name="inv_infraestructura_0" vbProcedure="false">Supuestos!$D$37</definedName>
    <definedName function="false" hidden="false" name="inv_legal" vbProcedure="false">Supuestos!$D$41</definedName>
    <definedName function="false" hidden="false" name="inv_marca_inpi" vbProcedure="false">Supuestos!$D$40</definedName>
    <definedName function="false" hidden="false" name="marketing" vbProcedure="false">Supuestos!$E$48:$G$52</definedName>
    <definedName function="false" hidden="false" name="meses_anio" vbProcedure="false">Supuestos!$D$7</definedName>
    <definedName function="false" hidden="false" name="meses_anio_0" vbProcedure="false">Supuestos!$D$30</definedName>
    <definedName function="false" hidden="false" name="meses_cobro" vbProcedure="false">Supuestos!$D$34</definedName>
    <definedName function="false" hidden="false" name="precio_agencias" vbProcedure="false">Supuestos!$E$87:$G$87</definedName>
    <definedName function="false" hidden="false" name="precio_busqueda" vbProcedure="false">Supuestos!$D$57</definedName>
    <definedName function="false" hidden="false" name="precio_entrada" vbProcedure="false">Supuestos!$D$55</definedName>
    <definedName function="false" hidden="false" name="precio_medios_chicos" vbProcedure="false">Supuestos!$D$83</definedName>
    <definedName function="false" hidden="false" name="precio_medios_grandes" vbProcedure="false">Supuestos!$E$82:$G$82</definedName>
    <definedName function="false" hidden="false" name="precio_organismos" vbProcedure="false">Supuestos!$E$86:$G$86</definedName>
    <definedName function="false" hidden="false" name="precio_salida" vbProcedure="false">Supuestos!$D$56</definedName>
    <definedName function="false" hidden="false" name="precio_universidades" vbProcedure="false">Supuestos!$D$85</definedName>
    <definedName function="false" hidden="false" name="precio_verificadores" vbProcedure="false">Supuestos!$D$84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ens_captacion" vbProcedure="false">Supuestos!$D$104</definedName>
    <definedName function="false" hidden="false" name="sens_costo_analisis" vbProcedure="false">Supuestos!$D$102</definedName>
    <definedName function="false" hidden="false" name="sens_precios" vbProcedure="false">Supuestos!$D$103</definedName>
    <definedName function="false" hidden="false" name="sueldos_por_anio" vbProcedure="false">Supuestos!$D$27</definedName>
    <definedName function="false" hidden="false" name="sueldo_ars" vbProcedure="false">Supuestos!$D$24</definedName>
    <definedName function="false" hidden="false" name="sueldo_usd" vbProcedure="false">Supuestos!$D$26</definedName>
    <definedName function="false" hidden="false" name="tasa_capm" vbProcedure="false">Supuestos!$D$20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Supuestos!$E$70:$G$70</definedName>
    <definedName function="false" hidden="false" name="tc_encuesta" vbProcedure="false">Supuestos!$D$25</definedName>
    <definedName function="false" hidden="false" name="tokens_entrada" vbProcedure="false">Supuestos!$E$59:$G$59</definedName>
    <definedName function="false" hidden="false" name="tokens_por_millon" vbProcedure="false">Supuestos!$D$58</definedName>
    <definedName function="false" hidden="false" name="tokens_salida" vbProcedure="false">Supuestos!$E$60:$G$60</definedName>
    <definedName function="false" hidden="false" name="tope_mensual" vbProcedure="false">Supuestos!$D$69</definedName>
    <definedName function="false" hidden="false" name="ua_escalado" vbProcedure="false">Supuestos!$D$46</definedName>
    <definedName function="false" hidden="false" name="usuarios_activos" vbProcedure="false">Supuestos!$E$63:$G$67</definedName>
    <definedName function="false" hidden="false" name="u_agencias" vbProcedure="false">Supuestos!$D$81</definedName>
    <definedName function="false" hidden="false" name="u_medios_chicos" vbProcedure="false">Supuestos!$D$77</definedName>
    <definedName function="false" hidden="false" name="u_medios_grandes" vbProcedure="false">Supuestos!$D$76</definedName>
    <definedName function="false" hidden="false" name="u_medios_total" vbProcedure="false">Supuestos!$D$75</definedName>
    <definedName function="false" hidden="false" name="u_organismos" vbProcedure="false">Supuestos!$D$80</definedName>
    <definedName function="false" hidden="false" name="u_universidades" vbProcedure="false">Supuestos!$D$79</definedName>
    <definedName function="false" hidden="false" name="u_verificadores" vbProcedure="false">Supuestos!$D$78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<sst xmlns="http://schemas.openxmlformats.org/spreadsheetml/2006/main" count="588" uniqueCount="314">
  <si>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</si>
  <si>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</si>
  <si>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</si>
  <si>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</si>
  <si>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</si>
  <si>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</si>
  <si>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</si>
  <si>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</si>
  <si>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</si>
  <si>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</si>
  <si>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</si>
  <si>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</si>
  <si>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</si>
  <si>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</si>
  <si>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</si>
  <si>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</si>
  <si>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</si>
  <si>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</si>
  <si>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</si>
  <si>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</si>
  <si>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</si>
  <si>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</si>
  <si>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</si>
  <si>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</si>
  <si>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</si>
  <si>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ConvencionConstituyente1994, LaNacion2026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</si>
  <si>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</si>
  <si>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</si>
  <si>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</si>
  <si>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</si>
  <si>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</si>
  <si>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</si>
  <si>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</si>
  <si>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</si>
  <si>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</si>
  <si>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</si>
  <si>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</si>
  <si>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Infobae2026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</si>
  <si>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</si>
  <si>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</si>
  <si>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</si>
  <si>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</si>
  <si>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</si>
  <si>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</si>
  <si>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erp_maduro</t>
  </si>
  <si>
    <t xml:space="preserve">Prima de riesgo de un mercado maduro (contraste CAPM)</t>
  </si>
  <si>
    <t xml:space="preserve">Damodaran2026</t>
  </si>
  <si>
    <t xml:space="preserve">crp_argentina</t>
  </si>
  <si>
    <t xml:space="preserve">Prima de riesgo país de Argentina (contraste CAPM)</t>
  </si>
  <si>
    <t xml:space="preserve">tasa_capm</t>
  </si>
  <si>
    <t xml:space="preserve">Tasa CAPM de contraste, con beta igual a 1</t>
  </si>
  <si>
    <t xml:space="preserve">Cálculo</t>
  </si>
  <si>
    <t xml:space="preserve">crecimiento_perpetuo</t>
  </si>
  <si>
    <t xml:space="preserve">Crecimiento a perpetuidad para el valor residual</t>
  </si>
  <si>
    <t xml:space="preserve">Supuesto propio, no mayor al crecimiento de largo plazo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</si>
  <si>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</si>
  <si>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</si>
  <si>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</si>
  <si>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</si>
  <si>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</si>
  <si>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</si>
  <si>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</si>
  <si>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</si>
  <si>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</si>
  <si>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</si>
  <si>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</si>
  <si>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</si>
  <si>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</si>
  <si>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</si>
  <si>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</si>
  <si>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</si>
  <si>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cargas_sociales</t>
  </si>
  <si>
    <t xml:space="preserve">Cargas sociales del empleador (18 % + obra social 6 % + ART 2 %)</t>
  </si>
  <si>
    <t xml:space="preserve">CongresoNacion2019; ART estimada [sin verificar]</t>
  </si>
  <si>
    <t xml:space="preserve">meses_anio_0</t>
  </si>
  <si>
    <t xml:space="preserve">Meses de desarrollo del trabajo en el año 0 (no se imputan al flujo)</t>
  </si>
  <si>
    <t xml:space="preserve">Cronograma del PFI</t>
  </si>
  <si>
    <t xml:space="preserve">Impuestos y capital de trabajo</t>
  </si>
  <si>
    <t xml:space="preserve">alicuota_ganancias</t>
  </si>
  <si>
    <t xml:space="preserve">Impuesto a las ganancias, con quebrantos trasladables</t>
  </si>
  <si>
    <t xml:space="preserve">Simplificación indicada por la cátedra</t>
  </si>
  <si>
    <t xml:space="preserve">meses_cobro</t>
  </si>
  <si>
    <t xml:space="preserve">Plazo de cobro de los clientes B2B y B2G</t>
  </si>
  <si>
    <t xml:space="preserve">Inversión del año 0 (además del desarrollo)</t>
  </si>
  <si>
    <t xml:space="preserve">inv_infraestructura_0</t>
  </si>
  <si>
    <t xml:space="preserve">Infraestructura durante el PFI: API y clasificador en Railway (13 USD/mes × 12)</t>
  </si>
  <si>
    <t xml:space="preserve">USD</t>
  </si>
  <si>
    <t xml:space="preserve">Cap. 4, RNF-14; RailwayPrecios2026</t>
  </si>
  <si>
    <t xml:space="preserve">inv_dominio</t>
  </si>
  <si>
    <t xml:space="preserve">Dominio, primer año</t>
  </si>
  <si>
    <t xml:space="preserve">wiki/proyecto/recursos [sin verificar]</t>
  </si>
  <si>
    <t xml:space="preserve">inv_chrome_web_store</t>
  </si>
  <si>
    <t xml:space="preserve">Alta en Chrome Web Store</t>
  </si>
  <si>
    <t xml:space="preserve">GoogleRegistro2026 [sin verificar]</t>
  </si>
  <si>
    <t xml:space="preserve">inv_marca_inpi</t>
  </si>
  <si>
    <t xml:space="preserve">Solicitud de marca en el INPI, clases 9 y 42</t>
  </si>
  <si>
    <t xml:space="preserve">INPI2026 [sin verificar]</t>
  </si>
  <si>
    <t xml:space="preserve">inv_legal</t>
  </si>
  <si>
    <t xml:space="preserve">Asesoría legal</t>
  </si>
  <si>
    <t xml:space="preserve">Supuesto propio [sin verificar]</t>
  </si>
  <si>
    <t xml:space="preserve">Infraestructura y hosting (años 1 a 5)</t>
  </si>
  <si>
    <t xml:space="preserve">infra_base</t>
  </si>
  <si>
    <t xml:space="preserve">Base comercial: Railway Pro, con 20 USD de uso incluidos (API y clasificador, 13 USD/mes)</t>
  </si>
  <si>
    <t xml:space="preserve">Railway2026</t>
  </si>
  <si>
    <t xml:space="preserve">infra_escalado</t>
  </si>
  <si>
    <t xml:space="preserve">Uso adicional por cada bloque de usuarios activos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</si>
  <si>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</si>
  <si>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</si>
  <si>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</si>
  <si>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</si>
  <si>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</t>
  </si>
  <si>
    <t xml:space="preserve">USD/año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</si>
  <si>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</si>
  <si>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</si>
  <si>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</si>
  <si>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</si>
  <si>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</si>
  <si>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</si>
  <si>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</si>
  <si>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</si>
  <si>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</si>
  <si>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</si>
  <si>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</si>
  <si>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</si>
  <si>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</si>
  <si>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</si>
  <si>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</si>
  <si>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</si>
  <si>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</si>
  <si>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</si>
  <si>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</si>
  <si>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</si>
  <si>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</si>
  <si>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Estimación [sin verificar]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</si>
  <si>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</si>
  <si>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</si>
  <si>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</si>
  <si>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</si>
  <si>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</si>
  <si>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</si>
  <si>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</si>
  <si>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</si>
  <si>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</si>
  <si>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</si>
  <si>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</si>
  <si>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</si>
  <si>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</si>
  <si>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</si>
  <si>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</si>
  <si>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</si>
  <si>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tope_mensual</t>
  </si>
  <si>
    <t xml:space="preserve">Tope de análisis gratuitos por usuario por mes</t>
  </si>
  <si>
    <t xml:space="preserve">Decisión de producto</t>
  </si>
  <si>
    <t xml:space="preserve">tasa_reuso</t>
  </si>
  <si>
    <t xml:space="preserve">Análisis servidos desde la caché (los tuits virales concentran la demanda)</t>
  </si>
  <si>
    <t xml:space="preserve">consultas_pro_mes</t>
  </si>
  <si>
    <t xml:space="preserve">Consultas por cliente API Pro por mes (uso parcial de la cuota)</t>
  </si>
  <si>
    <t xml:space="preserve">consultas</t>
  </si>
  <si>
    <t xml:space="preserve">consultas_ent_mes</t>
  </si>
  <si>
    <t xml:space="preserve">Consultas por cliente API Enterprise por mes</t>
  </si>
  <si>
    <t xml:space="preserve">Clientes B2B</t>
  </si>
  <si>
    <t xml:space="preserve">u_medios_total</t>
  </si>
  <si>
    <t xml:space="preserve">Universo: socios activos de ADEPA, con y sin sitio web</t>
  </si>
  <si>
    <t xml:space="preserve">organizaciones</t>
  </si>
  <si>
    <t xml:space="preserve">ADEPA2026</t>
  </si>
  <si>
    <t xml:space="preserve">u_medios_grandes</t>
  </si>
  <si>
    <t xml:space="preserve">Universo: medios de gran porte</t>
  </si>
  <si>
    <t xml:space="preserve">ADEPA2026 (corte propio)</t>
  </si>
  <si>
    <t xml:space="preserve">u_medios_chicos</t>
  </si>
  <si>
    <t xml:space="preserve">Universo: resto de medios de ADEPA con sitio web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</si>
  <si>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</si>
  <si>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</si>
  <si>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</si>
  <si>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</si>
  <si>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</si>
  <si>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</si>
  <si>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</si>
  <si>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</si>
  <si>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</si>
  <si>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</si>
  <si>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</si>
  <si>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</si>
  <si>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</si>
  <si>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</si>
  <si>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Cap. 3, tab:pricing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</si>
  <si>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</si>
  <si>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</si>
  <si>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</si>
  <si>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</si>
  <si>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</si>
  <si>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</si>
  <si>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</si>
  <si>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</si>
  <si>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</si>
  <si>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</si>
  <si>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</si>
  <si>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anio_inicio_b2b</t>
  </si>
  <si>
    <t xml:space="preserve">Año del modelo en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</si>
  <si>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</si>
  <si>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</si>
  <si>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</si>
  <si>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</si>
  <si>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</si>
  <si>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</si>
  <si>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</si>
  <si>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</si>
  <si>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</si>
  <si>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</si>
  <si>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</si>
  <si>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</si>
  <si>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</si>
  <si>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</si>
  <si>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</si>
  <si>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</si>
  <si>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</si>
  <si>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</si>
  <si>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</si>
  <si>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</si>
  <si>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</si>
  <si>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</si>
  <si>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Sensibilidad (1 = caso base; los cambia scripts/sensibilidad_modelo_financiero.py)</t>
  </si>
  <si>
    <t xml:space="preserve">sens_costo_analisis</t>
  </si>
  <si>
    <t xml:space="preserve">Multiplicador del costo por análisis</t>
  </si>
  <si>
    <t xml:space="preserve">veces</t>
  </si>
  <si>
    <t xml:space="preserve">sens_precios</t>
  </si>
  <si>
    <t xml:space="preserve">Multiplicador de los precios B2B</t>
  </si>
  <si>
    <t xml:space="preserve">sens_captacion</t>
  </si>
  <si>
    <t xml:space="preserve">Multiplicador de las tasas de captación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</si>
  <si>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</si>
  <si>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</si>
  <si>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</si>
  <si>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</si>
  <si>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</si>
  <si>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</si>
  <si>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</si>
  <si>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</si>
  <si>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</si>
  <si>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</si>
  <si>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VAN con valor residual (USD)</t>
  </si>
  <si>
    <t xml:space="preserve">Mercado, a precios del escenario neutral (USD por año)</t>
  </si>
  <si>
    <t xml:space="preserve">TAM: todo el universo de organizaciones contrata</t>
  </si>
  <si>
    <t xml:space="preserve">SAM: organizaciones que el producto y el canal atienden</t>
  </si>
  <si>
    <t xml:space="preserve">SOM: ingresos del año 5, escenario neutral</t>
  </si>
  <si>
    <t xml:space="preserve">Contraste para la defensa</t>
  </si>
  <si>
    <t xml:space="preserve">Valor de mercado de las horas de desarrollo del año 0, no imputado (USD)</t>
  </si>
  <si>
    <t xml:space="preserve">Tasa CAPM de contraste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</si>
  <si>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</si>
  <si>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</si>
  <si>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</si>
  <si>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</si>
  <si>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</si>
  <si>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Ventas B2B habilitadas (1 = sí)</t>
  </si>
  <si>
    <t xml:space="preserve">Usuarios activos mensuales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</si>
  <si>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</si>
  <si>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</si>
  <si>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</si>
  <si>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</si>
  <si>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</si>
  <si>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</si>
  <si>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</si>
  <si>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</si>
  <si>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</si>
  <si>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</si>
  <si>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</si>
  <si>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</si>
  <si>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</si>
  <si>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</si>
  <si>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</si>
  <si>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</si>
  <si>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</si>
  <si>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</si>
  <si>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</si>
  <si>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</si>
  <si>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</si>
  <si>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</si>
  <si>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</si>
  <si>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</si>
  <si>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</si>
  <si>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</si>
  <si>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</si>
  <si>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</si>
  <si>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</si>
  <si>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</si>
  <si>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</si>
  <si>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</si>
  <si>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</si>
  <si>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</si>
  <si>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</si>
  <si>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</si>
  <si>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senior, con cargas sociales)</t>
  </si>
  <si>
    <t xml:space="preserve">Costo: infraestructura</t>
  </si>
  <si>
    <t xml:space="preserve">Costo: marketing</t>
  </si>
  <si>
    <t xml:space="preserve">Costo: dominio, Chrome Web Store,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</si>
  <si>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</si>
  <si>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</si>
  <si>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</si>
  <si>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Impuesto y capital de trabajo</t>
  </si>
  <si>
    <t xml:space="preserve">Resultado antes de impuestos</t>
  </si>
  <si>
    <t xml:space="preserve">Quebranto acumulado</t>
  </si>
  <si>
    <t xml:space="preserve">Impuesto a las ganancias</t>
  </si>
  <si>
    <t xml:space="preserve">Capital de trabajo</t>
  </si>
  <si>
    <t xml:space="preserve">Capital de trabajo: variación</t>
  </si>
  <si>
    <t xml:space="preserve">Recupero del capital de trabajo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</si>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</sst>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s">
        <v>33</v>
      </c>
      <c r="D18" s="0" t="n">
        <v>0.0423</v>
      </c>
      <c r="H18" s="0" t="s">
        <v>46</v>
      </c>
    </row>
    <row r="19" customFormat="false" ht="15" hidden="false" customHeight="false" outlineLevel="0" collapsed="false">
      <c r="A19" s="0" t="s">
        <v>47</v>
      </c>
      <c r="B19" s="0" t="s">
        <v>48</v>
      </c>
      <c r="C19" s="0" t="s">
        <v>33</v>
      </c>
      <c r="D19" s="0" t="n">
        <v>0.0971</v>
      </c>
      <c r="H19" s="0" t="s">
        <v>46</v>
      </c>
    </row>
    <row r="20" customFormat="false" ht="15" hidden="false" customHeight="false" outlineLevel="0" collapsed="false">
      <c r="A20" s="0" t="s">
        <v>49</v>
      </c>
      <c r="B20" s="0" t="s">
        <v>50</v>
      </c>
      <c r="C20" s="0" t="s">
        <v>33</v>
      </c>
      <c r="D20" s="0" t="n">
        <f aca="false">tasa_libre_riesgo+erp_maduro+crp_argentina</f>
        <v>0.1911</v>
      </c>
      <c r="H20" s="0" t="s">
        <v>51</v>
      </c>
    </row>
    <row r="21" customFormat="false" ht="15" hidden="false" customHeight="false" outlineLevel="0" collapsed="false">
      <c r="A21" s="0" t="s">
        <v>52</v>
      </c>
      <c r="B21" s="0" t="s">
        <v>53</v>
      </c>
      <c r="C21" s="0" t="s">
        <v>33</v>
      </c>
      <c r="D21" s="0" t="n">
        <v>0.02</v>
      </c>
      <c r="H21" s="0" t="s">
        <v>54</v>
      </c>
    </row>
    <row r="23" customFormat="false" ht="15" hidden="false" customHeight="false" outlineLevel="0" collapsed="false">
      <c r="A23" s="1" t="s">
        <v>55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s">
        <v>58</v>
      </c>
      <c r="D24" s="0" t="n">
        <v>2501629</v>
      </c>
      <c r="H24" s="0" t="s">
        <v>59</v>
      </c>
    </row>
    <row r="25" customFormat="false" ht="15" hidden="false" customHeight="false" outlineLevel="0" collapsed="false">
      <c r="A25" s="0" t="s">
        <v>60</v>
      </c>
      <c r="B25" s="0" t="s">
        <v>61</v>
      </c>
      <c r="C25" s="0" t="s">
        <v>62</v>
      </c>
      <c r="D25" s="0" t="n">
        <v>1397.88</v>
      </c>
      <c r="H25" s="0" t="s">
        <v>59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0" t="s">
        <v>65</v>
      </c>
      <c r="D26" s="0" t="n">
        <f aca="false">ROUND(sueldo_ars/tc_encuesta,0)</f>
        <v>1790</v>
      </c>
      <c r="H26" s="0" t="s">
        <v>51</v>
      </c>
    </row>
    <row r="27" customFormat="false" ht="15" hidden="false" customHeight="false" outlineLevel="0" collapsed="false">
      <c r="A27" s="0" t="s">
        <v>66</v>
      </c>
      <c r="B27" s="0" t="s">
        <v>67</v>
      </c>
      <c r="C27" s="0" t="s">
        <v>68</v>
      </c>
      <c r="D27" s="0" t="n">
        <v>13</v>
      </c>
      <c r="H27" s="0" t="s">
        <v>17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0" t="s">
        <v>33</v>
      </c>
      <c r="D28" s="0" t="n">
        <v>0.05</v>
      </c>
      <c r="H28" s="0" t="s">
        <v>17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0" t="s">
        <v>33</v>
      </c>
      <c r="D29" s="0" t="n">
        <v>0.26</v>
      </c>
      <c r="H29" s="0" t="s">
        <v>73</v>
      </c>
    </row>
    <row r="30" customFormat="false" ht="15" hidden="false" customHeight="false" outlineLevel="0" collapsed="false">
      <c r="A30" s="0" t="s">
        <v>74</v>
      </c>
      <c r="B30" s="0" t="s">
        <v>75</v>
      </c>
      <c r="C30" s="0" t="s">
        <v>20</v>
      </c>
      <c r="D30" s="0" t="n">
        <v>10</v>
      </c>
      <c r="H30" s="0" t="s">
        <v>76</v>
      </c>
    </row>
    <row r="32" customFormat="false" ht="15" hidden="false" customHeight="false" outlineLevel="0" collapsed="false">
      <c r="A32" s="1" t="s">
        <v>77</v>
      </c>
    </row>
    <row r="33" customFormat="false" ht="15" hidden="false" customHeight="false" outlineLevel="0" collapsed="false">
      <c r="A33" s="0" t="s">
        <v>78</v>
      </c>
      <c r="B33" s="0" t="s">
        <v>79</v>
      </c>
      <c r="C33" s="0" t="s">
        <v>33</v>
      </c>
      <c r="D33" s="0" t="n">
        <v>0.35</v>
      </c>
      <c r="H33" s="0" t="s">
        <v>80</v>
      </c>
    </row>
    <row r="34" customFormat="false" ht="15" hidden="false" customHeight="false" outlineLevel="0" collapsed="false">
      <c r="A34" s="0" t="s">
        <v>81</v>
      </c>
      <c r="B34" s="0" t="s">
        <v>82</v>
      </c>
      <c r="C34" s="0" t="s">
        <v>20</v>
      </c>
      <c r="D34" s="0" t="n">
        <v>2</v>
      </c>
      <c r="H34" s="0" t="s">
        <v>17</v>
      </c>
    </row>
    <row r="36" customFormat="false" ht="15" hidden="false" customHeight="false" outlineLevel="0" collapsed="false">
      <c r="A36" s="1" t="s">
        <v>83</v>
      </c>
    </row>
    <row r="37" customFormat="false" ht="15" hidden="false" customHeight="false" outlineLevel="0" collapsed="false">
      <c r="A37" s="0" t="s">
        <v>84</v>
      </c>
      <c r="B37" s="0" t="s">
        <v>85</v>
      </c>
      <c r="C37" s="0" t="s">
        <v>86</v>
      </c>
      <c r="D37" s="0" t="n">
        <v>156</v>
      </c>
      <c r="H37" s="0" t="s">
        <v>87</v>
      </c>
    </row>
    <row r="38" customFormat="false" ht="15" hidden="false" customHeight="false" outlineLevel="0" collapsed="false">
      <c r="A38" s="0" t="s">
        <v>88</v>
      </c>
      <c r="B38" s="0" t="s">
        <v>89</v>
      </c>
      <c r="C38" s="0" t="s">
        <v>86</v>
      </c>
      <c r="D38" s="0" t="n">
        <v>15</v>
      </c>
      <c r="H38" s="0" t="s">
        <v>90</v>
      </c>
    </row>
    <row r="39" customFormat="false" ht="15" hidden="false" customHeight="false" outlineLevel="0" collapsed="false">
      <c r="A39" s="0" t="s">
        <v>91</v>
      </c>
      <c r="B39" s="0" t="s">
        <v>92</v>
      </c>
      <c r="C39" s="0" t="s">
        <v>86</v>
      </c>
      <c r="D39" s="0" t="n">
        <v>5</v>
      </c>
      <c r="H39" s="0" t="s">
        <v>93</v>
      </c>
    </row>
    <row r="40" customFormat="false" ht="15" hidden="false" customHeight="false" outlineLevel="0" collapsed="false">
      <c r="A40" s="0" t="s">
        <v>94</v>
      </c>
      <c r="B40" s="0" t="s">
        <v>95</v>
      </c>
      <c r="C40" s="0" t="s">
        <v>86</v>
      </c>
      <c r="D40" s="0" t="n">
        <v>53</v>
      </c>
      <c r="H40" s="0" t="s">
        <v>96</v>
      </c>
    </row>
    <row r="41" customFormat="false" ht="15" hidden="false" customHeight="false" outlineLevel="0" collapsed="false">
      <c r="A41" s="0" t="s">
        <v>97</v>
      </c>
      <c r="B41" s="0" t="s">
        <v>98</v>
      </c>
      <c r="C41" s="0" t="s">
        <v>86</v>
      </c>
      <c r="D41" s="0" t="n">
        <v>1500</v>
      </c>
      <c r="H41" s="0" t="s">
        <v>99</v>
      </c>
    </row>
    <row r="43" customFormat="false" ht="15" hidden="false" customHeight="false" outlineLevel="0" collapsed="false">
      <c r="A43" s="1" t="s">
        <v>100</v>
      </c>
    </row>
    <row r="44" customFormat="false" ht="15" hidden="false" customHeight="false" outlineLevel="0" collapsed="false">
      <c r="A44" s="0" t="s">
        <v>101</v>
      </c>
      <c r="B44" s="0" t="s">
        <v>102</v>
      </c>
      <c r="C44" s="0" t="s">
        <v>65</v>
      </c>
      <c r="D44" s="0" t="n">
        <v>20</v>
      </c>
      <c r="H44" s="0" t="s">
        <v>103</v>
      </c>
    </row>
    <row r="45" customFormat="false" ht="15" hidden="false" customHeight="false" outlineLevel="0" collapsed="false">
      <c r="A45" s="0" t="s">
        <v>104</v>
      </c>
      <c r="B45" s="0" t="s">
        <v>105</v>
      </c>
      <c r="C45" s="0" t="s">
        <v>65</v>
      </c>
      <c r="D45" s="0" t="n">
        <v>10</v>
      </c>
      <c r="H45" s="0" t="s">
        <v>99</v>
      </c>
    </row>
    <row r="46" customFormat="false" ht="15" hidden="false" customHeight="false" outlineLevel="0" collapsed="false">
      <c r="A46" s="0" t="s">
        <v>106</v>
      </c>
      <c r="B46" s="0" t="s">
        <v>107</v>
      </c>
      <c r="C46" s="0" t="s">
        <v>108</v>
      </c>
      <c r="D46" s="0" t="n">
        <v>10000</v>
      </c>
      <c r="H46" s="0" t="s">
        <v>17</v>
      </c>
    </row>
    <row r="47" customFormat="false" ht="15" hidden="false" customHeight="false" outlineLevel="0" collapsed="false">
      <c r="A47" s="0" t="s">
        <v>109</v>
      </c>
      <c r="B47" s="0" t="s">
        <v>110</v>
      </c>
      <c r="C47" s="0" t="s">
        <v>111</v>
      </c>
      <c r="D47" s="0" t="n">
        <v>15</v>
      </c>
      <c r="H47" s="0" t="s">
        <v>90</v>
      </c>
    </row>
    <row r="48" customFormat="false" ht="15" hidden="false" customHeight="false" outlineLevel="0" collapsed="false">
      <c r="A48" s="0" t="s">
        <v>112</v>
      </c>
      <c r="B48" s="0" t="s">
        <v>113</v>
      </c>
      <c r="C48" s="0" t="s">
        <v>111</v>
      </c>
      <c r="E48" s="0" t="n">
        <v>6000</v>
      </c>
      <c r="F48" s="0" t="n">
        <v>4000</v>
      </c>
      <c r="G48" s="0" t="n">
        <v>2000</v>
      </c>
      <c r="H48" s="0" t="s">
        <v>17</v>
      </c>
    </row>
    <row r="49" customFormat="false" ht="15" hidden="false" customHeight="false" outlineLevel="0" collapsed="false">
      <c r="B49" s="0" t="s">
        <v>114</v>
      </c>
      <c r="C49" s="0" t="s">
        <v>111</v>
      </c>
      <c r="E49" s="0" t="n">
        <v>9000</v>
      </c>
      <c r="F49" s="0" t="n">
        <v>6000</v>
      </c>
      <c r="G49" s="0" t="n">
        <v>3000</v>
      </c>
      <c r="H49" s="0" t="s">
        <v>17</v>
      </c>
    </row>
    <row r="50" customFormat="false" ht="15" hidden="false" customHeight="false" outlineLevel="0" collapsed="false">
      <c r="B50" s="0" t="s">
        <v>115</v>
      </c>
      <c r="C50" s="0" t="s">
        <v>111</v>
      </c>
      <c r="E50" s="0" t="n">
        <v>12000</v>
      </c>
      <c r="F50" s="0" t="n">
        <v>8000</v>
      </c>
      <c r="G50" s="0" t="n">
        <v>4000</v>
      </c>
      <c r="H50" s="0" t="s">
        <v>17</v>
      </c>
    </row>
    <row r="51" customFormat="false" ht="15" hidden="false" customHeight="false" outlineLevel="0" collapsed="false">
      <c r="B51" s="0" t="s">
        <v>116</v>
      </c>
      <c r="C51" s="0" t="s">
        <v>111</v>
      </c>
      <c r="E51" s="0" t="n">
        <v>15000</v>
      </c>
      <c r="F51" s="0" t="n">
        <v>10000</v>
      </c>
      <c r="G51" s="0" t="n">
        <v>5000</v>
      </c>
      <c r="H51" s="0" t="s">
        <v>17</v>
      </c>
    </row>
    <row r="52" customFormat="false" ht="15" hidden="false" customHeight="false" outlineLevel="0" collapsed="false">
      <c r="B52" s="0" t="s">
        <v>117</v>
      </c>
      <c r="C52" s="0" t="s">
        <v>111</v>
      </c>
      <c r="E52" s="0" t="n">
        <v>18000</v>
      </c>
      <c r="F52" s="0" t="n">
        <v>12000</v>
      </c>
      <c r="G52" s="0" t="n">
        <v>6000</v>
      </c>
      <c r="H52" s="0" t="s">
        <v>17</v>
      </c>
    </row>
    <row r="54" customFormat="false" ht="15" hidden="false" customHeight="false" outlineLevel="0" collapsed="false">
      <c r="A54" s="1" t="s">
        <v>118</v>
      </c>
    </row>
    <row r="55" customFormat="false" ht="15" hidden="false" customHeight="false" outlineLevel="0" collapsed="false">
      <c r="A55" s="0" t="s">
        <v>119</v>
      </c>
      <c r="B55" s="0" t="s">
        <v>120</v>
      </c>
      <c r="C55" s="0" t="s">
        <v>121</v>
      </c>
      <c r="D55" s="0" t="n">
        <v>0.2</v>
      </c>
      <c r="H55" s="0" t="s">
        <v>122</v>
      </c>
    </row>
    <row r="56" customFormat="false" ht="15" hidden="false" customHeight="false" outlineLevel="0" collapsed="false">
      <c r="A56" s="0" t="s">
        <v>123</v>
      </c>
      <c r="B56" s="0" t="s">
        <v>124</v>
      </c>
      <c r="C56" s="0" t="s">
        <v>121</v>
      </c>
      <c r="D56" s="0" t="n">
        <v>1.2</v>
      </c>
      <c r="H56" s="0" t="s">
        <v>122</v>
      </c>
    </row>
    <row r="57" customFormat="false" ht="15" hidden="false" customHeight="false" outlineLevel="0" collapsed="false">
      <c r="A57" s="0" t="s">
        <v>125</v>
      </c>
      <c r="B57" s="0" t="s">
        <v>126</v>
      </c>
      <c r="C57" s="0" t="s">
        <v>127</v>
      </c>
      <c r="D57" s="0" t="n">
        <v>0.01</v>
      </c>
      <c r="H57" s="0" t="s">
        <v>122</v>
      </c>
    </row>
    <row r="58" customFormat="false" ht="15" hidden="false" customHeight="false" outlineLevel="0" collapsed="false">
      <c r="A58" s="0" t="s">
        <v>128</v>
      </c>
      <c r="B58" s="0" t="s">
        <v>129</v>
      </c>
      <c r="C58" s="0" t="s">
        <v>130</v>
      </c>
      <c r="D58" s="0" t="n">
        <v>1000000</v>
      </c>
      <c r="H58" s="0" t="s">
        <v>21</v>
      </c>
    </row>
    <row r="59" customFormat="false" ht="15" hidden="false" customHeight="false" outlineLevel="0" collapsed="false">
      <c r="A59" s="0" t="s">
        <v>131</v>
      </c>
      <c r="B59" s="0" t="s">
        <v>132</v>
      </c>
      <c r="C59" s="0" t="s">
        <v>130</v>
      </c>
      <c r="E59" s="0" t="n">
        <v>6220</v>
      </c>
      <c r="F59" s="0" t="n">
        <v>11220</v>
      </c>
      <c r="G59" s="0" t="n">
        <v>18220</v>
      </c>
      <c r="H59" s="0" t="s">
        <v>133</v>
      </c>
    </row>
    <row r="60" customFormat="false" ht="15" hidden="false" customHeight="false" outlineLevel="0" collapsed="false">
      <c r="A60" s="0" t="s">
        <v>134</v>
      </c>
      <c r="B60" s="0" t="s">
        <v>135</v>
      </c>
      <c r="C60" s="0" t="s">
        <v>130</v>
      </c>
      <c r="E60" s="0" t="n">
        <v>1250</v>
      </c>
      <c r="F60" s="0" t="n">
        <v>2000</v>
      </c>
      <c r="G60" s="0" t="n">
        <v>3600</v>
      </c>
      <c r="H60" s="0" t="s">
        <v>133</v>
      </c>
    </row>
    <row r="61" customFormat="false" ht="15" hidden="false" customHeight="false" outlineLevel="0" collapsed="false">
      <c r="A61" s="0" t="s">
        <v>136</v>
      </c>
      <c r="B61" s="0" t="s">
        <v>137</v>
      </c>
      <c r="C61" s="0" t="s">
        <v>138</v>
      </c>
      <c r="E61" s="0" t="n">
        <v>1</v>
      </c>
      <c r="F61" s="0" t="n">
        <v>2</v>
      </c>
      <c r="G61" s="0" t="n">
        <v>3</v>
      </c>
      <c r="H61" s="0" t="s">
        <v>133</v>
      </c>
    </row>
    <row r="62" customFormat="false" ht="15" hidden="false" customHeight="false" outlineLevel="0" collapsed="false">
      <c r="A62" s="0" t="s">
        <v>139</v>
      </c>
      <c r="B62" s="0" t="s">
        <v>140</v>
      </c>
      <c r="C62" s="0" t="s">
        <v>86</v>
      </c>
      <c r="E62" s="0" t="n">
        <f aca="false">(E59*precio_entrada+E60*precio_salida)/tokens_por_millon+E61*precio_busqueda</f>
        <v>0.012744</v>
      </c>
      <c r="F62" s="0" t="n">
        <f aca="false">(F59*precio_entrada+F60*precio_salida)/tokens_por_millon+F61*precio_busqueda</f>
        <v>0.024644</v>
      </c>
      <c r="G62" s="0" t="n">
        <f aca="false">(G59*precio_entrada+G60*precio_salida)/tokens_por_millon+G61*precio_busqueda</f>
        <v>0.037964</v>
      </c>
      <c r="H62" s="0" t="s">
        <v>51</v>
      </c>
    </row>
    <row r="63" customFormat="false" ht="15" hidden="false" customHeight="false" outlineLevel="0" collapsed="false">
      <c r="A63" s="0" t="s">
        <v>141</v>
      </c>
      <c r="B63" s="0" t="s">
        <v>142</v>
      </c>
      <c r="C63" s="0" t="s">
        <v>108</v>
      </c>
      <c r="E63" s="0" t="n">
        <v>5000</v>
      </c>
      <c r="F63" s="0" t="n">
        <v>2000</v>
      </c>
      <c r="G63" s="0" t="n">
        <v>500</v>
      </c>
      <c r="H63" s="0" t="s">
        <v>17</v>
      </c>
    </row>
    <row r="64" customFormat="false" ht="15" hidden="false" customHeight="false" outlineLevel="0" collapsed="false">
      <c r="B64" s="0" t="s">
        <v>143</v>
      </c>
      <c r="C64" s="0" t="s">
        <v>108</v>
      </c>
      <c r="E64" s="0" t="n">
        <v>20000</v>
      </c>
      <c r="F64" s="0" t="n">
        <v>8000</v>
      </c>
      <c r="G64" s="0" t="n">
        <v>2000</v>
      </c>
      <c r="H64" s="0" t="s">
        <v>17</v>
      </c>
    </row>
    <row r="65" customFormat="false" ht="15" hidden="false" customHeight="false" outlineLevel="0" collapsed="false">
      <c r="B65" s="0" t="s">
        <v>144</v>
      </c>
      <c r="C65" s="0" t="s">
        <v>108</v>
      </c>
      <c r="E65" s="0" t="n">
        <v>50000</v>
      </c>
      <c r="F65" s="0" t="n">
        <v>20000</v>
      </c>
      <c r="G65" s="0" t="n">
        <v>5000</v>
      </c>
      <c r="H65" s="0" t="s">
        <v>17</v>
      </c>
    </row>
    <row r="66" customFormat="false" ht="15" hidden="false" customHeight="false" outlineLevel="0" collapsed="false">
      <c r="B66" s="0" t="s">
        <v>145</v>
      </c>
      <c r="C66" s="0" t="s">
        <v>108</v>
      </c>
      <c r="E66" s="0" t="n">
        <v>100000</v>
      </c>
      <c r="F66" s="0" t="n">
        <v>40000</v>
      </c>
      <c r="G66" s="0" t="n">
        <v>8000</v>
      </c>
      <c r="H66" s="0" t="s">
        <v>17</v>
      </c>
    </row>
    <row r="67" customFormat="false" ht="15" hidden="false" customHeight="false" outlineLevel="0" collapsed="false">
      <c r="B67" s="0" t="s">
        <v>146</v>
      </c>
      <c r="C67" s="0" t="s">
        <v>108</v>
      </c>
      <c r="E67" s="0" t="n">
        <v>150000</v>
      </c>
      <c r="F67" s="0" t="n">
        <v>60000</v>
      </c>
      <c r="G67" s="0" t="n">
        <v>10000</v>
      </c>
      <c r="H67" s="0" t="s">
        <v>17</v>
      </c>
    </row>
    <row r="68" customFormat="false" ht="15" hidden="false" customHeight="false" outlineLevel="0" collapsed="false">
      <c r="A68" s="0" t="s">
        <v>147</v>
      </c>
      <c r="B68" s="0" t="s">
        <v>148</v>
      </c>
      <c r="C68" s="0" t="s">
        <v>149</v>
      </c>
      <c r="E68" s="0" t="n">
        <v>20</v>
      </c>
      <c r="F68" s="0" t="n">
        <v>12</v>
      </c>
      <c r="G68" s="0" t="n">
        <v>6</v>
      </c>
      <c r="H68" s="0" t="s">
        <v>17</v>
      </c>
    </row>
    <row r="69" customFormat="false" ht="15" hidden="false" customHeight="false" outlineLevel="0" collapsed="false">
      <c r="A69" s="0" t="s">
        <v>150</v>
      </c>
      <c r="B69" s="0" t="s">
        <v>151</v>
      </c>
      <c r="C69" s="0" t="s">
        <v>149</v>
      </c>
      <c r="D69" s="0" t="n">
        <v>5</v>
      </c>
      <c r="H69" s="0" t="s">
        <v>152</v>
      </c>
    </row>
    <row r="70" customFormat="false" ht="15" hidden="false" customHeight="false" outlineLevel="0" collapsed="false">
      <c r="A70" s="0" t="s">
        <v>153</v>
      </c>
      <c r="B70" s="0" t="s">
        <v>154</v>
      </c>
      <c r="C70" s="0" t="s">
        <v>33</v>
      </c>
      <c r="E70" s="0" t="n">
        <v>0.4</v>
      </c>
      <c r="F70" s="0" t="n">
        <v>0.3</v>
      </c>
      <c r="G70" s="0" t="n">
        <v>0.2</v>
      </c>
      <c r="H70" s="0" t="s">
        <v>17</v>
      </c>
    </row>
    <row r="71" customFormat="false" ht="15" hidden="false" customHeight="false" outlineLevel="0" collapsed="false">
      <c r="A71" s="0" t="s">
        <v>155</v>
      </c>
      <c r="B71" s="0" t="s">
        <v>156</v>
      </c>
      <c r="C71" s="0" t="s">
        <v>157</v>
      </c>
      <c r="E71" s="0" t="n">
        <v>2000</v>
      </c>
      <c r="F71" s="0" t="n">
        <v>4000</v>
      </c>
      <c r="G71" s="0" t="n">
        <v>8000</v>
      </c>
      <c r="H71" s="0" t="s">
        <v>17</v>
      </c>
    </row>
    <row r="72" customFormat="false" ht="15" hidden="false" customHeight="false" outlineLevel="0" collapsed="false">
      <c r="A72" s="0" t="s">
        <v>158</v>
      </c>
      <c r="B72" s="0" t="s">
        <v>159</v>
      </c>
      <c r="C72" s="0" t="s">
        <v>157</v>
      </c>
      <c r="E72" s="0" t="n">
        <v>20000</v>
      </c>
      <c r="F72" s="0" t="n">
        <v>40000</v>
      </c>
      <c r="G72" s="0" t="n">
        <v>80000</v>
      </c>
      <c r="H72" s="0" t="s">
        <v>17</v>
      </c>
    </row>
    <row r="74" customFormat="false" ht="15" hidden="false" customHeight="false" outlineLevel="0" collapsed="false">
      <c r="A74" s="1" t="s">
        <v>160</v>
      </c>
    </row>
    <row r="75" customFormat="false" ht="15" hidden="false" customHeight="false" outlineLevel="0" collapsed="false">
      <c r="A75" s="0" t="s">
        <v>161</v>
      </c>
      <c r="B75" s="0" t="s">
        <v>162</v>
      </c>
      <c r="C75" s="0" t="s">
        <v>163</v>
      </c>
      <c r="D75" s="0" t="n">
        <v>130</v>
      </c>
      <c r="H75" s="0" t="s">
        <v>164</v>
      </c>
    </row>
    <row r="76" customFormat="false" ht="15" hidden="false" customHeight="false" outlineLevel="0" collapsed="false">
      <c r="A76" s="0" t="s">
        <v>165</v>
      </c>
      <c r="B76" s="0" t="s">
        <v>166</v>
      </c>
      <c r="C76" s="0" t="s">
        <v>163</v>
      </c>
      <c r="D76" s="0" t="n">
        <v>10</v>
      </c>
      <c r="H76" s="0" t="s">
        <v>167</v>
      </c>
    </row>
    <row r="77" customFormat="false" ht="15" hidden="false" customHeight="false" outlineLevel="0" collapsed="false">
      <c r="A77" s="0" t="s">
        <v>168</v>
      </c>
      <c r="B77" s="0" t="s">
        <v>169</v>
      </c>
      <c r="C77" s="0" t="s">
        <v>163</v>
      </c>
      <c r="D77" s="0" t="n">
        <v>93</v>
      </c>
      <c r="H77" s="0" t="s">
        <v>164</v>
      </c>
    </row>
    <row r="78" customFormat="false" ht="15" hidden="false" customHeight="false" outlineLevel="0" collapsed="false">
      <c r="A78" s="0" t="s">
        <v>170</v>
      </c>
      <c r="B78" s="0" t="s">
        <v>171</v>
      </c>
      <c r="C78" s="0" t="s">
        <v>163</v>
      </c>
      <c r="D78" s="0" t="n">
        <v>3</v>
      </c>
      <c r="H78" s="0" t="s">
        <v>172</v>
      </c>
    </row>
    <row r="79" customFormat="false" ht="15" hidden="false" customHeight="false" outlineLevel="0" collapsed="false">
      <c r="A79" s="0" t="s">
        <v>173</v>
      </c>
      <c r="B79" s="0" t="s">
        <v>174</v>
      </c>
      <c r="C79" s="0" t="s">
        <v>163</v>
      </c>
      <c r="D79" s="0" t="n">
        <v>149</v>
      </c>
      <c r="H79" s="0" t="s">
        <v>175</v>
      </c>
    </row>
    <row r="80" customFormat="false" ht="15" hidden="false" customHeight="false" outlineLevel="0" collapsed="false">
      <c r="A80" s="0" t="s">
        <v>176</v>
      </c>
      <c r="B80" s="0" t="s">
        <v>177</v>
      </c>
      <c r="C80" s="0" t="s">
        <v>163</v>
      </c>
      <c r="D80" s="0" t="n">
        <v>32</v>
      </c>
      <c r="H80" s="0" t="s">
        <v>178</v>
      </c>
    </row>
    <row r="81" customFormat="false" ht="15" hidden="false" customHeight="false" outlineLevel="0" collapsed="false">
      <c r="A81" s="0" t="s">
        <v>179</v>
      </c>
      <c r="B81" s="0" t="s">
        <v>180</v>
      </c>
      <c r="C81" s="0" t="s">
        <v>163</v>
      </c>
      <c r="D81" s="0" t="n">
        <v>120</v>
      </c>
      <c r="H81" s="0" t="s">
        <v>181</v>
      </c>
    </row>
    <row r="82" customFormat="false" ht="15" hidden="false" customHeight="false" outlineLevel="0" collapsed="false">
      <c r="A82" s="0" t="s">
        <v>182</v>
      </c>
      <c r="B82" s="0" t="s">
        <v>183</v>
      </c>
      <c r="C82" s="0" t="s">
        <v>65</v>
      </c>
      <c r="E82" s="0" t="n">
        <v>3000</v>
      </c>
      <c r="F82" s="0" t="n">
        <v>2500</v>
      </c>
      <c r="G82" s="0" t="n">
        <v>1500</v>
      </c>
      <c r="H82" s="0" t="s">
        <v>184</v>
      </c>
    </row>
    <row r="83" customFormat="false" ht="15" hidden="false" customHeight="false" outlineLevel="0" collapsed="false">
      <c r="A83" s="0" t="s">
        <v>185</v>
      </c>
      <c r="B83" s="0" t="s">
        <v>186</v>
      </c>
      <c r="C83" s="0" t="s">
        <v>65</v>
      </c>
      <c r="D83" s="0" t="n">
        <v>200</v>
      </c>
      <c r="H83" s="0" t="s">
        <v>184</v>
      </c>
    </row>
    <row r="84" customFormat="false" ht="15" hidden="false" customHeight="false" outlineLevel="0" collapsed="false">
      <c r="A84" s="0" t="s">
        <v>187</v>
      </c>
      <c r="B84" s="0" t="s">
        <v>188</v>
      </c>
      <c r="C84" s="0" t="s">
        <v>65</v>
      </c>
      <c r="D84" s="0" t="n">
        <v>500</v>
      </c>
      <c r="H84" s="0" t="s">
        <v>184</v>
      </c>
    </row>
    <row r="85" customFormat="false" ht="15" hidden="false" customHeight="false" outlineLevel="0" collapsed="false">
      <c r="A85" s="0" t="s">
        <v>189</v>
      </c>
      <c r="B85" s="0" t="s">
        <v>190</v>
      </c>
      <c r="C85" s="0" t="s">
        <v>65</v>
      </c>
      <c r="D85" s="0" t="n">
        <v>100</v>
      </c>
      <c r="H85" s="0" t="s">
        <v>184</v>
      </c>
    </row>
    <row r="86" customFormat="false" ht="15" hidden="false" customHeight="false" outlineLevel="0" collapsed="false">
      <c r="A86" s="0" t="s">
        <v>191</v>
      </c>
      <c r="B86" s="0" t="s">
        <v>192</v>
      </c>
      <c r="C86" s="0" t="s">
        <v>193</v>
      </c>
      <c r="E86" s="0" t="n">
        <v>30000</v>
      </c>
      <c r="F86" s="0" t="n">
        <v>20000</v>
      </c>
      <c r="G86" s="0" t="n">
        <v>10000</v>
      </c>
      <c r="H86" s="0" t="s">
        <v>184</v>
      </c>
    </row>
    <row r="87" customFormat="false" ht="15" hidden="false" customHeight="false" outlineLevel="0" collapsed="false">
      <c r="A87" s="0" t="s">
        <v>194</v>
      </c>
      <c r="B87" s="0" t="s">
        <v>195</v>
      </c>
      <c r="C87" s="0" t="s">
        <v>65</v>
      </c>
      <c r="E87" s="0" t="n">
        <v>3000</v>
      </c>
      <c r="F87" s="0" t="n">
        <v>2500</v>
      </c>
      <c r="G87" s="0" t="n">
        <v>1500</v>
      </c>
      <c r="H87" s="0" t="s">
        <v>184</v>
      </c>
    </row>
    <row r="88" customFormat="false" ht="15" hidden="false" customHeight="false" outlineLevel="0" collapsed="false">
      <c r="A88" s="0" t="s">
        <v>196</v>
      </c>
      <c r="B88" s="0" t="s">
        <v>197</v>
      </c>
      <c r="C88" s="0" t="s">
        <v>16</v>
      </c>
      <c r="E88" s="0" t="n">
        <v>1</v>
      </c>
      <c r="F88" s="0" t="n">
        <v>2</v>
      </c>
      <c r="G88" s="0" t="n">
        <v>3</v>
      </c>
      <c r="H88" s="0" t="s">
        <v>17</v>
      </c>
    </row>
    <row r="89" customFormat="false" ht="15" hidden="false" customHeight="false" outlineLevel="0" collapsed="false">
      <c r="A89" s="0" t="s">
        <v>198</v>
      </c>
      <c r="B89" s="0" t="s">
        <v>199</v>
      </c>
      <c r="C89" s="0" t="s">
        <v>33</v>
      </c>
      <c r="E89" s="0" t="n">
        <v>0.2</v>
      </c>
      <c r="F89" s="0" t="n">
        <v>0.1</v>
      </c>
      <c r="G89" s="0" t="n">
        <v>0.05</v>
      </c>
      <c r="H89" s="0" t="s">
        <v>17</v>
      </c>
    </row>
    <row r="90" customFormat="false" ht="15" hidden="false" customHeight="false" outlineLevel="0" collapsed="false">
      <c r="A90" s="0" t="s">
        <v>200</v>
      </c>
      <c r="B90" s="0" t="s">
        <v>201</v>
      </c>
      <c r="C90" s="0" t="s">
        <v>33</v>
      </c>
      <c r="E90" s="0" t="n">
        <v>0.1</v>
      </c>
      <c r="F90" s="0" t="n">
        <v>0.05</v>
      </c>
      <c r="G90" s="0" t="n">
        <v>0.02</v>
      </c>
      <c r="H90" s="0" t="s">
        <v>17</v>
      </c>
    </row>
    <row r="91" customFormat="false" ht="15" hidden="false" customHeight="false" outlineLevel="0" collapsed="false">
      <c r="A91" s="0" t="s">
        <v>202</v>
      </c>
      <c r="B91" s="0" t="s">
        <v>203</v>
      </c>
      <c r="C91" s="0" t="s">
        <v>33</v>
      </c>
      <c r="E91" s="0" t="n">
        <v>0.4</v>
      </c>
      <c r="F91" s="0" t="n">
        <v>0.3</v>
      </c>
      <c r="G91" s="0" t="n">
        <v>0.2</v>
      </c>
      <c r="H91" s="0" t="s">
        <v>17</v>
      </c>
    </row>
    <row r="92" customFormat="false" ht="15" hidden="false" customHeight="false" outlineLevel="0" collapsed="false">
      <c r="A92" s="0" t="s">
        <v>204</v>
      </c>
      <c r="B92" s="0" t="s">
        <v>205</v>
      </c>
      <c r="C92" s="0" t="s">
        <v>33</v>
      </c>
      <c r="E92" s="0" t="n">
        <v>0.08</v>
      </c>
      <c r="F92" s="0" t="n">
        <v>0.04</v>
      </c>
      <c r="G92" s="0" t="n">
        <v>0.02</v>
      </c>
      <c r="H92" s="0" t="s">
        <v>17</v>
      </c>
    </row>
    <row r="93" customFormat="false" ht="15" hidden="false" customHeight="false" outlineLevel="0" collapsed="false">
      <c r="A93" s="0" t="s">
        <v>206</v>
      </c>
      <c r="B93" s="0" t="s">
        <v>207</v>
      </c>
      <c r="C93" s="0" t="s">
        <v>33</v>
      </c>
      <c r="E93" s="0" t="n">
        <v>0.1</v>
      </c>
      <c r="F93" s="0" t="n">
        <v>0.06</v>
      </c>
      <c r="G93" s="0" t="n">
        <v>0.03</v>
      </c>
      <c r="H93" s="0" t="s">
        <v>17</v>
      </c>
    </row>
    <row r="94" customFormat="false" ht="15" hidden="false" customHeight="false" outlineLevel="0" collapsed="false">
      <c r="A94" s="0" t="s">
        <v>208</v>
      </c>
      <c r="B94" s="0" t="s">
        <v>209</v>
      </c>
      <c r="C94" s="0" t="s">
        <v>33</v>
      </c>
      <c r="E94" s="0" t="n">
        <v>0.05</v>
      </c>
      <c r="F94" s="0" t="n">
        <v>0.02</v>
      </c>
      <c r="G94" s="0" t="n">
        <v>0.01</v>
      </c>
      <c r="H94" s="0" t="s">
        <v>17</v>
      </c>
    </row>
    <row r="95" customFormat="false" ht="15" hidden="false" customHeight="false" outlineLevel="0" collapsed="false">
      <c r="A95" s="0" t="s">
        <v>210</v>
      </c>
      <c r="B95" s="0" t="s">
        <v>211</v>
      </c>
      <c r="C95" s="0" t="s">
        <v>33</v>
      </c>
      <c r="E95" s="0" t="n">
        <v>0.1</v>
      </c>
      <c r="F95" s="0" t="n">
        <v>0.15</v>
      </c>
      <c r="G95" s="0" t="n">
        <v>0.25</v>
      </c>
      <c r="H95" s="0" t="s">
        <v>17</v>
      </c>
    </row>
    <row r="96" customFormat="false" ht="15" hidden="false" customHeight="false" outlineLevel="0" collapsed="false">
      <c r="A96" s="0" t="s">
        <v>212</v>
      </c>
      <c r="B96" s="0" t="s">
        <v>213</v>
      </c>
      <c r="C96" s="0" t="s">
        <v>33</v>
      </c>
      <c r="E96" s="0" t="n">
        <v>0.15</v>
      </c>
      <c r="F96" s="0" t="n">
        <v>0.2</v>
      </c>
      <c r="G96" s="0" t="n">
        <v>0.3</v>
      </c>
      <c r="H96" s="0" t="s">
        <v>17</v>
      </c>
    </row>
    <row r="97" customFormat="false" ht="15" hidden="false" customHeight="false" outlineLevel="0" collapsed="false">
      <c r="A97" s="0" t="s">
        <v>214</v>
      </c>
      <c r="B97" s="0" t="s">
        <v>215</v>
      </c>
      <c r="C97" s="0" t="s">
        <v>33</v>
      </c>
      <c r="E97" s="0" t="n">
        <v>0</v>
      </c>
      <c r="F97" s="0" t="n">
        <v>0.1</v>
      </c>
      <c r="G97" s="0" t="n">
        <v>0.2</v>
      </c>
      <c r="H97" s="0" t="s">
        <v>17</v>
      </c>
    </row>
    <row r="98" customFormat="false" ht="15" hidden="false" customHeight="false" outlineLevel="0" collapsed="false">
      <c r="A98" s="0" t="s">
        <v>216</v>
      </c>
      <c r="B98" s="0" t="s">
        <v>217</v>
      </c>
      <c r="C98" s="0" t="s">
        <v>33</v>
      </c>
      <c r="E98" s="0" t="n">
        <v>0.05</v>
      </c>
      <c r="F98" s="0" t="n">
        <v>0.1</v>
      </c>
      <c r="G98" s="0" t="n">
        <v>0.15</v>
      </c>
      <c r="H98" s="0" t="s">
        <v>17</v>
      </c>
    </row>
    <row r="99" customFormat="false" ht="15" hidden="false" customHeight="false" outlineLevel="0" collapsed="false">
      <c r="A99" s="0" t="s">
        <v>218</v>
      </c>
      <c r="B99" s="0" t="s">
        <v>219</v>
      </c>
      <c r="C99" s="0" t="s">
        <v>33</v>
      </c>
      <c r="E99" s="0" t="n">
        <v>0.15</v>
      </c>
      <c r="F99" s="0" t="n">
        <v>0.2</v>
      </c>
      <c r="G99" s="0" t="n">
        <v>0.3</v>
      </c>
      <c r="H99" s="0" t="s">
        <v>17</v>
      </c>
    </row>
    <row r="101" customFormat="false" ht="15" hidden="false" customHeight="false" outlineLevel="0" collapsed="false">
      <c r="A101" s="1" t="s">
        <v>220</v>
      </c>
    </row>
    <row r="102" customFormat="false" ht="15" hidden="false" customHeight="false" outlineLevel="0" collapsed="false">
      <c r="A102" s="0" t="s">
        <v>221</v>
      </c>
      <c r="B102" s="0" t="s">
        <v>222</v>
      </c>
      <c r="C102" s="0" t="s">
        <v>223</v>
      </c>
      <c r="D102" s="0" t="n">
        <v>1</v>
      </c>
      <c r="H102" s="0" t="s">
        <v>21</v>
      </c>
    </row>
    <row r="103" customFormat="false" ht="15" hidden="false" customHeight="false" outlineLevel="0" collapsed="false">
      <c r="A103" s="0" t="s">
        <v>224</v>
      </c>
      <c r="B103" s="0" t="s">
        <v>225</v>
      </c>
      <c r="C103" s="0" t="s">
        <v>223</v>
      </c>
      <c r="D103" s="0" t="n">
        <v>1</v>
      </c>
      <c r="H103" s="0" t="s">
        <v>21</v>
      </c>
    </row>
    <row r="104" customFormat="false" ht="15" hidden="false" customHeight="false" outlineLevel="0" collapsed="false">
      <c r="A104" s="0" t="s">
        <v>226</v>
      </c>
      <c r="B104" s="0" t="s">
        <v>227</v>
      </c>
      <c r="C104" s="0" t="s">
        <v>223</v>
      </c>
      <c r="D104" s="0" t="n">
        <v>1</v>
      </c>
      <c r="H104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228</v>
      </c>
      <c r="B1" s="1" t="s">
        <v>229</v>
      </c>
      <c r="C1" s="1" t="s">
        <v>230</v>
      </c>
      <c r="D1" s="1" t="s">
        <v>231</v>
      </c>
    </row>
    <row r="2" customFormat="false" ht="15" hidden="false" customHeight="false" outlineLevel="0" collapsed="false">
      <c r="A2" s="0" t="s">
        <v>232</v>
      </c>
      <c r="B2" s="0" t="n">
        <f aca="false">Optimista!B74</f>
        <v>833326.429038681</v>
      </c>
      <c r="C2" s="0" t="n">
        <f aca="false">Neutral!B74</f>
        <v>63905.8711313104</v>
      </c>
      <c r="D2" s="0" t="n">
        <f aca="false">Pesimista!B74</f>
        <v>-134943.500348607</v>
      </c>
    </row>
    <row r="3" customFormat="false" ht="15" hidden="false" customHeight="false" outlineLevel="0" collapsed="false">
      <c r="A3" s="0" t="s">
        <v>233</v>
      </c>
      <c r="B3" s="2" t="n">
        <f aca="false">Optimista!B75</f>
        <v>55.0901724757085</v>
      </c>
      <c r="C3" s="2" t="n">
        <f aca="false">Neutral!B75</f>
        <v>0.725003031811974</v>
      </c>
      <c r="D3" s="2" t="str">
        <f aca="false">Pesimista!B75</f>
        <v>no definida</v>
      </c>
    </row>
    <row r="4" customFormat="false" ht="15" hidden="false" customHeight="false" outlineLevel="0" collapsed="false">
      <c r="A4" s="0" t="s">
        <v>234</v>
      </c>
      <c r="B4" s="0" t="n">
        <f aca="false">Optimista!B76</f>
        <v>0.0186153089736415</v>
      </c>
      <c r="C4" s="0" t="n">
        <f aca="false">Neutral!B76</f>
        <v>2.93267464392057</v>
      </c>
      <c r="D4" s="0" t="str">
        <f aca="false">Pesimista!B76</f>
        <v>no se recupera</v>
      </c>
    </row>
    <row r="5" customFormat="false" ht="15" hidden="false" customHeight="false" outlineLevel="0" collapsed="false">
      <c r="A5" s="0" t="s">
        <v>235</v>
      </c>
      <c r="B5" s="0" t="n">
        <f aca="false">Optimista!B77</f>
        <v>0.0232691362170518</v>
      </c>
      <c r="C5" s="0" t="n">
        <f aca="false">Neutral!B77</f>
        <v>3.46329412908338</v>
      </c>
      <c r="D5" s="0" t="str">
        <f aca="false">Pesimista!B77</f>
        <v>no se recupera</v>
      </c>
    </row>
    <row r="6" customFormat="false" ht="15" hidden="false" customHeight="false" outlineLevel="0" collapsed="false">
      <c r="A6" s="0" t="s">
        <v>236</v>
      </c>
      <c r="B6" s="0" t="n">
        <f aca="false">Optimista!B80</f>
        <v>17</v>
      </c>
      <c r="C6" s="0" t="n">
        <f aca="false">Neutral!B80</f>
        <v>23</v>
      </c>
      <c r="D6" s="0" t="n">
        <f aca="false">Pesimista!B80</f>
        <v>30</v>
      </c>
    </row>
    <row r="7" customFormat="false" ht="15" hidden="false" customHeight="false" outlineLevel="0" collapsed="false">
      <c r="A7" s="0" t="s">
        <v>237</v>
      </c>
      <c r="B7" s="0" t="n">
        <f aca="false">Optimista!B79</f>
        <v>10781.4432989691</v>
      </c>
      <c r="C7" s="0" t="n">
        <f aca="false">Neutral!B79</f>
        <v>8901.20481927711</v>
      </c>
      <c r="D7" s="0" t="n">
        <f aca="false">Pesimista!B79</f>
        <v>5600</v>
      </c>
    </row>
    <row r="8" customFormat="false" ht="15" hidden="false" customHeight="false" outlineLevel="0" collapsed="false">
      <c r="A8" s="0" t="s">
        <v>238</v>
      </c>
      <c r="B8" s="0" t="n">
        <f aca="false">Optimista!B78</f>
        <v>1609220.83270831</v>
      </c>
      <c r="C8" s="0" t="n">
        <f aca="false">Neutral!B78</f>
        <v>199462.300907551</v>
      </c>
      <c r="D8" s="0" t="n">
        <f aca="false">Pesimista!B78</f>
        <v>-134943.500348607</v>
      </c>
    </row>
    <row r="10" customFormat="false" ht="15" hidden="false" customHeight="false" outlineLevel="0" collapsed="false">
      <c r="A10" s="1" t="s">
        <v>239</v>
      </c>
    </row>
    <row r="11" customFormat="false" ht="15" hidden="false" customHeight="false" outlineLevel="0" collapsed="false">
      <c r="A11" s="0" t="s">
        <v>240</v>
      </c>
      <c r="B11" s="0" t="n">
        <f aca="false">meses_anio*(u_medios_grandes*INDEX(precio_medios_grandes,1,2)+(u_medios_total-u_medios_grandes)*precio_medios_chicos+u_verificadores*precio_verificadores+u_universidades*precio_universidades+u_agencias*INDEX(precio_agencias,1,2))+u_organismos*INDEX(precio_organismos,1,2)</f>
        <v>5024800</v>
      </c>
    </row>
    <row r="12" customFormat="false" ht="15" hidden="false" customHeight="false" outlineLevel="0" collapsed="false">
      <c r="A12" s="0" t="s">
        <v>241</v>
      </c>
      <c r="B12" s="0" t="n">
        <f aca="false">meses_anio*(u_medios_grandes*INDEX(precio_medios_grandes,1,2)+u_medios_chicos*precio_medios_chicos+u_verificadores*precio_verificadores+u_universidades*precio_universidades+u_agencias*INDEX(precio_agencias,1,2))+u_organismos*INDEX(precio_organismos,1,2)</f>
        <v>4960000</v>
      </c>
    </row>
    <row r="13" customFormat="false" ht="15" hidden="false" customHeight="false" outlineLevel="0" collapsed="false">
      <c r="A13" s="0" t="s">
        <v>242</v>
      </c>
      <c r="B13" s="0" t="n">
        <f aca="false">Neutral!G45</f>
        <v>369400</v>
      </c>
    </row>
    <row r="15" customFormat="false" ht="15" hidden="false" customHeight="false" outlineLevel="0" collapsed="false">
      <c r="A15" s="1" t="s">
        <v>243</v>
      </c>
    </row>
    <row r="16" customFormat="false" ht="15" hidden="false" customHeight="false" outlineLevel="0" collapsed="false">
      <c r="A16" s="0" t="s">
        <v>244</v>
      </c>
      <c r="B16" s="0" t="n">
        <f aca="false">meses_anio_0*sueldo_usd*(1+cargas_sociales)*sueldos_por_anio/meses_anio</f>
        <v>24433.5</v>
      </c>
    </row>
    <row r="17" customFormat="false" ht="15" hidden="false" customHeight="false" outlineLevel="0" collapsed="false">
      <c r="A17" s="0" t="s">
        <v>245</v>
      </c>
      <c r="B17" s="0" t="n">
        <f aca="false">tasa_capm</f>
        <v>0.1911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246</v>
      </c>
    </row>
    <row r="2" customFormat="false" ht="15" hidden="false" customHeight="false" outlineLevel="0" collapsed="false">
      <c r="A2" s="0" t="s">
        <v>247</v>
      </c>
      <c r="B2" s="0" t="n">
        <v>1</v>
      </c>
    </row>
    <row r="3" customFormat="false" ht="15" hidden="false" customHeight="false" outlineLevel="0" collapsed="false">
      <c r="A3" s="0" t="s">
        <v>248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249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250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251</v>
      </c>
      <c r="B6" s="0" t="n">
        <f aca="false">IF(B$3&gt;=INDEX(anio_inicio_b2b,1,$B$2),1,0)</f>
        <v>0</v>
      </c>
      <c r="C6" s="0" t="n">
        <f aca="false">IF(C$3&gt;=INDEX(anio_inicio_b2b,1,$B$2),1,0)</f>
        <v>1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252</v>
      </c>
      <c r="C7" s="0" t="n">
        <f aca="false">INDEX(usuarios_activos,C$3,$B$2)</f>
        <v>5000</v>
      </c>
      <c r="D7" s="0" t="n">
        <f aca="false">INDEX(usuarios_activos,D$3,$B$2)</f>
        <v>20000</v>
      </c>
      <c r="E7" s="0" t="n">
        <f aca="false">INDEX(usuarios_activos,E$3,$B$2)</f>
        <v>50000</v>
      </c>
      <c r="F7" s="0" t="n">
        <f aca="false">INDEX(usuarios_activos,F$3,$B$2)</f>
        <v>100000</v>
      </c>
      <c r="G7" s="0" t="n">
        <f aca="false">INDEX(usuarios_activos,G$3,$B$2)</f>
        <v>150000</v>
      </c>
    </row>
    <row r="9" customFormat="false" ht="15" hidden="false" customHeight="false" outlineLevel="0" collapsed="false">
      <c r="A9" s="1" t="s">
        <v>160</v>
      </c>
    </row>
    <row r="10" customFormat="false" ht="15" hidden="false" customHeight="false" outlineLevel="0" collapsed="false">
      <c r="A10" s="0" t="s">
        <v>253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254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255</v>
      </c>
      <c r="C12" s="0" t="n">
        <f aca="false">C6*ROUND(INDEX(capt_medios_grandes,1,$B$2)*sens_captacion*(u_medios_grandes-C10),0)</f>
        <v>2</v>
      </c>
      <c r="D12" s="0" t="n">
        <f aca="false">D6*ROUND(INDEX(capt_medios_grandes,1,$B$2)*sens_captacion*(u_medios_grandes-D10),0)</f>
        <v>2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1</v>
      </c>
      <c r="G12" s="0" t="n">
        <f aca="false">G6*ROUND(INDEX(capt_medios_grandes,1,$B$2)*sens_captacion*(u_medios_grandes-G10),0)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256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257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258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259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260</v>
      </c>
      <c r="C17" s="0" t="n">
        <f aca="false">C6*ROUND(INDEX(capt_medios_chicos,1,$B$2)*sens_captacion*(u_medios_chicos-C15),0)</f>
        <v>9</v>
      </c>
      <c r="D17" s="0" t="n">
        <f aca="false">D6*ROUND(INDEX(capt_medios_chicos,1,$B$2)*sens_captacion*(u_medios_chicos-D15),0)</f>
        <v>8</v>
      </c>
      <c r="E17" s="0" t="n">
        <f aca="false">E6*ROUND(INDEX(capt_medios_chicos,1,$B$2)*sens_captacion*(u_medios_chicos-E15),0)</f>
        <v>8</v>
      </c>
      <c r="F17" s="0" t="n">
        <f aca="false">F6*ROUND(INDEX(capt_medios_chicos,1,$B$2)*sens_captacion*(u_medios_chicos-F15),0)</f>
        <v>7</v>
      </c>
      <c r="G17" s="0" t="n">
        <f aca="false">G6*ROUND(INDEX(capt_medios_chicos,1,$B$2)*sens_captacion*(u_medios_chicos-G15),0)</f>
        <v>7</v>
      </c>
    </row>
    <row r="18" customFormat="false" ht="15" hidden="false" customHeight="false" outlineLevel="0" collapsed="false">
      <c r="A18" s="0" t="s">
        <v>261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262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263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264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265</v>
      </c>
      <c r="C22" s="0" t="n">
        <f aca="false">C6*ROUND(INDEX(capt_verificadores,1,$B$2)*sens_captacion*(u_verificadores-C20),0)</f>
        <v>1</v>
      </c>
      <c r="D22" s="0" t="n">
        <f aca="false">D6*ROUND(INDEX(capt_verificadores,1,$B$2)*sens_captacion*(u_verificadores-D20),0)</f>
        <v>1</v>
      </c>
      <c r="E22" s="0" t="n">
        <f aca="false">E6*ROUND(INDEX(capt_verificadores,1,$B$2)*sens_captacion*(u_verificadores-E20),0)</f>
        <v>0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266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267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268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269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270</v>
      </c>
      <c r="C27" s="0" t="n">
        <f aca="false">C6*ROUND(INDEX(capt_universidades,1,$B$2)*sens_captacion*(u_universidades-C25),0)</f>
        <v>12</v>
      </c>
      <c r="D27" s="0" t="n">
        <f aca="false">D6*ROUND(INDEX(capt_universidades,1,$B$2)*sens_captacion*(u_universidades-D25),0)</f>
        <v>11</v>
      </c>
      <c r="E27" s="0" t="n">
        <f aca="false">E6*ROUND(INDEX(capt_universidades,1,$B$2)*sens_captacion*(u_universidades-E25),0)</f>
        <v>10</v>
      </c>
      <c r="F27" s="0" t="n">
        <f aca="false">F6*ROUND(INDEX(capt_universidades,1,$B$2)*sens_captacion*(u_universidades-F25),0)</f>
        <v>9</v>
      </c>
      <c r="G27" s="0" t="n">
        <f aca="false">G6*ROUND(INDEX(capt_universidades,1,$B$2)*sens_captacion*(u_universidades-G25),0)</f>
        <v>9</v>
      </c>
    </row>
    <row r="28" customFormat="false" ht="15" hidden="false" customHeight="false" outlineLevel="0" collapsed="false">
      <c r="A28" s="0" t="s">
        <v>271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272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273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274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275</v>
      </c>
      <c r="C32" s="0" t="n">
        <f aca="false">C6*ROUND(INDEX(capt_agencias,1,$B$2)*sens_captacion*(u_agencias-C30),0)</f>
        <v>6</v>
      </c>
      <c r="D32" s="0" t="n">
        <f aca="false">D6*ROUND(INDEX(capt_agencias,1,$B$2)*sens_captacion*(u_agencias-D30),0)</f>
        <v>6</v>
      </c>
      <c r="E32" s="0" t="n">
        <f aca="false">E6*ROUND(INDEX(capt_agencias,1,$B$2)*sens_captacion*(u_agencias-E30),0)</f>
        <v>5</v>
      </c>
      <c r="F32" s="0" t="n">
        <f aca="false">F6*ROUND(INDEX(capt_agencias,1,$B$2)*sens_captacion*(u_agencias-F30),0)</f>
        <v>5</v>
      </c>
      <c r="G32" s="0" t="n">
        <f aca="false">G6*ROUND(INDEX(capt_agencias,1,$B$2)*sens_captacion*(u_agencias-G30),0)</f>
        <v>5</v>
      </c>
    </row>
    <row r="33" customFormat="false" ht="15" hidden="false" customHeight="false" outlineLevel="0" collapsed="false">
      <c r="A33" s="0" t="s">
        <v>276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277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278</v>
      </c>
      <c r="C35" s="0" t="n">
        <f aca="false">C5*C6*ROUND(INDEX(capt_organismos,1,$B$2)*sens_captacion*u_organismos,0)</f>
        <v>3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3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3</v>
      </c>
    </row>
    <row r="36" customFormat="false" ht="15" hidden="false" customHeight="false" outlineLevel="0" collapsed="false">
      <c r="A36" s="0" t="s">
        <v>279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280</v>
      </c>
    </row>
    <row r="39" customFormat="false" ht="15" hidden="false" customHeight="false" outlineLevel="0" collapsed="false">
      <c r="A39" s="0" t="s">
        <v>281</v>
      </c>
      <c r="C39" s="0" t="n">
        <f aca="false">C14*INDEX(precio_medios_grandes,1,$B$2)*sens_precios*meses_anio</f>
        <v>36000</v>
      </c>
      <c r="D39" s="0" t="n">
        <f aca="false">D14*INDEX(precio_medios_grandes,1,$B$2)*sens_precios*meses_anio</f>
        <v>108000</v>
      </c>
      <c r="E39" s="0" t="n">
        <f aca="false">E14*INDEX(precio_medios_grandes,1,$B$2)*sens_precios*meses_anio</f>
        <v>162000</v>
      </c>
      <c r="F39" s="0" t="n">
        <f aca="false">F14*INDEX(precio_medios_grandes,1,$B$2)*sens_precios*meses_anio</f>
        <v>180000</v>
      </c>
      <c r="G39" s="0" t="n">
        <f aca="false">G14*INDEX(precio_medios_grandes,1,$B$2)*sens_precios*meses_anio</f>
        <v>180000</v>
      </c>
    </row>
    <row r="40" customFormat="false" ht="15" hidden="false" customHeight="false" outlineLevel="0" collapsed="false">
      <c r="A40" s="0" t="s">
        <v>282</v>
      </c>
      <c r="C40" s="0" t="n">
        <f aca="false">C19*precio_medios_chicos*sens_precios*meses_anio</f>
        <v>10800</v>
      </c>
      <c r="D40" s="0" t="n">
        <f aca="false">D19*precio_medios_chicos*sens_precios*meses_anio</f>
        <v>30000</v>
      </c>
      <c r="E40" s="0" t="n">
        <f aca="false">E19*precio_medios_chicos*sens_precios*meses_anio</f>
        <v>45600</v>
      </c>
      <c r="F40" s="0" t="n">
        <f aca="false">F19*precio_medios_chicos*sens_precios*meses_anio</f>
        <v>57600</v>
      </c>
      <c r="G40" s="0" t="n">
        <f aca="false">G19*precio_medios_chicos*sens_precios*meses_anio</f>
        <v>66000</v>
      </c>
    </row>
    <row r="41" customFormat="false" ht="15" hidden="false" customHeight="false" outlineLevel="0" collapsed="false">
      <c r="A41" s="0" t="s">
        <v>283</v>
      </c>
      <c r="C41" s="0" t="n">
        <f aca="false">C24*precio_verificadores*sens_precios*meses_anio</f>
        <v>3000</v>
      </c>
      <c r="D41" s="0" t="n">
        <f aca="false">D24*precio_verificadores*sens_precios*meses_anio</f>
        <v>9000</v>
      </c>
      <c r="E41" s="0" t="n">
        <f aca="false">E24*precio_verificadores*sens_precios*meses_anio</f>
        <v>12000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284</v>
      </c>
      <c r="C42" s="0" t="n">
        <f aca="false">C29*precio_universidades*sens_precios*meses_anio</f>
        <v>7200</v>
      </c>
      <c r="D42" s="0" t="n">
        <f aca="false">D29*precio_universidades*sens_precios*meses_anio</f>
        <v>20400</v>
      </c>
      <c r="E42" s="0" t="n">
        <f aca="false">E29*precio_universidades*sens_precios*meses_anio</f>
        <v>31800</v>
      </c>
      <c r="F42" s="0" t="n">
        <f aca="false">F29*precio_universidades*sens_precios*meses_anio</f>
        <v>41400</v>
      </c>
      <c r="G42" s="0" t="n">
        <f aca="false">G29*precio_universidades*sens_precios*meses_anio</f>
        <v>49800</v>
      </c>
    </row>
    <row r="43" customFormat="false" ht="15" hidden="false" customHeight="false" outlineLevel="0" collapsed="false">
      <c r="A43" s="0" t="s">
        <v>285</v>
      </c>
      <c r="C43" s="0" t="n">
        <f aca="false">C34*INDEX(precio_agencias,1,$B$2)*sens_precios*meses_anio</f>
        <v>108000</v>
      </c>
      <c r="D43" s="0" t="n">
        <f aca="false">D34*INDEX(precio_agencias,1,$B$2)*sens_precios*meses_anio</f>
        <v>306000</v>
      </c>
      <c r="E43" s="0" t="n">
        <f aca="false">E34*INDEX(precio_agencias,1,$B$2)*sens_precios*meses_anio</f>
        <v>450000</v>
      </c>
      <c r="F43" s="0" t="n">
        <f aca="false">F34*INDEX(precio_agencias,1,$B$2)*sens_precios*meses_anio</f>
        <v>558000</v>
      </c>
      <c r="G43" s="0" t="n">
        <f aca="false">G34*INDEX(precio_agencias,1,$B$2)*sens_precios*meses_anio</f>
        <v>648000</v>
      </c>
    </row>
    <row r="44" customFormat="false" ht="15" hidden="false" customHeight="false" outlineLevel="0" collapsed="false">
      <c r="A44" s="0" t="s">
        <v>286</v>
      </c>
      <c r="C44" s="0" t="n">
        <f aca="false">C35*INDEX(precio_organismos,1,$B$2)*sens_precios</f>
        <v>90000</v>
      </c>
      <c r="D44" s="0" t="n">
        <f aca="false">D35*INDEX(precio_organismos,1,$B$2)*sens_precios</f>
        <v>0</v>
      </c>
      <c r="E44" s="0" t="n">
        <f aca="false">E35*INDEX(precio_organismos,1,$B$2)*sens_precios</f>
        <v>90000</v>
      </c>
      <c r="F44" s="0" t="n">
        <f aca="false">F35*INDEX(precio_organismos,1,$B$2)*sens_precios</f>
        <v>0</v>
      </c>
      <c r="G44" s="0" t="n">
        <f aca="false">G35*INDEX(precio_organismos,1,$B$2)*sens_precios</f>
        <v>90000</v>
      </c>
    </row>
    <row r="45" customFormat="false" ht="15" hidden="false" customHeight="false" outlineLevel="0" collapsed="false">
      <c r="A45" s="0" t="s">
        <v>287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288</v>
      </c>
    </row>
    <row r="48" customFormat="false" ht="15" hidden="false" customHeight="false" outlineLevel="0" collapsed="false">
      <c r="A48" s="0" t="s">
        <v>289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290</v>
      </c>
      <c r="B49" s="0" t="n">
        <f aca="false">inv_infraestructura_0</f>
        <v>156</v>
      </c>
      <c r="C49" s="0" t="n">
        <f aca="false">meses_anio*(infra_base+infra_escalado*C7/ua_escalado)+dominio_anual</f>
        <v>315</v>
      </c>
      <c r="D49" s="0" t="n">
        <f aca="false">meses_anio*(infra_base+infra_escalado*D7/ua_escalado)+dominio_anual</f>
        <v>495</v>
      </c>
      <c r="E49" s="0" t="n">
        <f aca="false">meses_anio*(infra_base+infra_escalado*E7/ua_escalado)+dominio_anual</f>
        <v>855</v>
      </c>
      <c r="F49" s="0" t="n">
        <f aca="false">meses_anio*(infra_base+infra_escalado*F7/ua_escalado)+dominio_anual</f>
        <v>1455</v>
      </c>
      <c r="G49" s="0" t="n">
        <f aca="false">meses_anio*(infra_base+infra_escalado*G7/ua_escalado)+dominio_anual</f>
        <v>2055</v>
      </c>
    </row>
    <row r="50" customFormat="false" ht="15" hidden="false" customHeight="false" outlineLevel="0" collapsed="false">
      <c r="A50" s="0" t="s">
        <v>291</v>
      </c>
      <c r="C50" s="0" t="n">
        <f aca="false">INDEX(marketing,C$3,$B$2)</f>
        <v>6000</v>
      </c>
      <c r="D50" s="0" t="n">
        <f aca="false">INDEX(marketing,D$3,$B$2)</f>
        <v>9000</v>
      </c>
      <c r="E50" s="0" t="n">
        <f aca="false">INDEX(marketing,E$3,$B$2)</f>
        <v>12000</v>
      </c>
      <c r="F50" s="0" t="n">
        <f aca="false">INDEX(marketing,F$3,$B$2)</f>
        <v>15000</v>
      </c>
      <c r="G50" s="0" t="n">
        <f aca="false">INDEX(marketing,G$3,$B$2)</f>
        <v>18000</v>
      </c>
    </row>
    <row r="51" customFormat="false" ht="15" hidden="false" customHeight="false" outlineLevel="0" collapsed="false">
      <c r="A51" s="0" t="s">
        <v>292</v>
      </c>
      <c r="B51" s="0" t="n">
        <f aca="false">inv_dominio+inv_chrome_web_store+inv_marca_inpi+inv_legal</f>
        <v>1573</v>
      </c>
    </row>
    <row r="52" customFormat="false" ht="15" hidden="false" customHeight="false" outlineLevel="0" collapsed="false">
      <c r="A52" s="0" t="s">
        <v>293</v>
      </c>
      <c r="C52" s="0" t="n">
        <f aca="false">C7*MIN(INDEX(analisis_por_ua_mes,1,$B$2),tope_mensual)*meses_anio*(1-INDEX(tasa_reuso,1,$B$2))*INDEX(costo_analisis,1,$B$2)*sens_costo_analisis</f>
        <v>2293.92</v>
      </c>
      <c r="D52" s="0" t="n">
        <f aca="false">D7*MIN(INDEX(analisis_por_ua_mes,1,$B$2),tope_mensual)*meses_anio*(1-INDEX(tasa_reuso,1,$B$2))*INDEX(costo_analisis,1,$B$2)*sens_costo_analisis</f>
        <v>9175.68</v>
      </c>
      <c r="E52" s="0" t="n">
        <f aca="false">E7*MIN(INDEX(analisis_por_ua_mes,1,$B$2),tope_mensual)*meses_anio*(1-INDEX(tasa_reuso,1,$B$2))*INDEX(costo_analisis,1,$B$2)*sens_costo_analisis</f>
        <v>22939.2</v>
      </c>
      <c r="F52" s="0" t="n">
        <f aca="false">F7*MIN(INDEX(analisis_por_ua_mes,1,$B$2),tope_mensual)*meses_anio*(1-INDEX(tasa_reuso,1,$B$2))*INDEX(costo_analisis,1,$B$2)*sens_costo_analisis</f>
        <v>45878.4</v>
      </c>
      <c r="G52" s="0" t="n">
        <f aca="false">G7*MIN(INDEX(analisis_por_ua_mes,1,$B$2),tope_mensual)*meses_anio*(1-INDEX(tasa_reuso,1,$B$2))*INDEX(costo_analisis,1,$B$2)*sens_costo_analisis</f>
        <v>68817.6</v>
      </c>
    </row>
    <row r="53" customFormat="false" ht="15" hidden="false" customHeight="false" outlineLevel="0" collapsed="false">
      <c r="A53" s="0" t="s">
        <v>294</v>
      </c>
      <c r="C53" s="0" t="n">
        <f aca="false">((C19+C24)*INDEX(consultas_pro_mes,1,$B$2)+(C14+C34)*INDEX(consultas_ent_mes,1,$B$2))*meses_anio*(1-INDEX(tasa_reuso,1,$B$2))*INDEX(costo_analisis,1,$B$2)*sens_costo_analisis</f>
        <v>8258.112</v>
      </c>
      <c r="D53" s="0" t="n">
        <f aca="false">((D19+D24)*INDEX(consultas_pro_mes,1,$B$2)+(D14+D34)*INDEX(consultas_ent_mes,1,$B$2))*meses_anio*(1-INDEX(tasa_reuso,1,$B$2))*INDEX(costo_analisis,1,$B$2)*sens_costo_analisis</f>
        <v>23673.2544</v>
      </c>
      <c r="E53" s="0" t="n">
        <f aca="false">((E19+E24)*INDEX(consultas_pro_mes,1,$B$2)+(E14+E34)*INDEX(consultas_ent_mes,1,$B$2))*meses_anio*(1-INDEX(tasa_reuso,1,$B$2))*INDEX(costo_analisis,1,$B$2)*sens_costo_analisis</f>
        <v>35051.0976</v>
      </c>
      <c r="F53" s="0" t="n">
        <f aca="false">((F19+F24)*INDEX(consultas_pro_mes,1,$B$2)+(F14+F34)*INDEX(consultas_ent_mes,1,$B$2))*meses_anio*(1-INDEX(tasa_reuso,1,$B$2))*INDEX(costo_analisis,1,$B$2)*sens_costo_analisis</f>
        <v>42391.6416</v>
      </c>
      <c r="G53" s="0" t="n">
        <f aca="false">((G19+G24)*INDEX(consultas_pro_mes,1,$B$2)+(G14+G34)*INDEX(consultas_ent_mes,1,$B$2))*meses_anio*(1-INDEX(tasa_reuso,1,$B$2))*INDEX(costo_analisis,1,$B$2)*sens_costo_analisis</f>
        <v>47621.7792</v>
      </c>
    </row>
    <row r="54" customFormat="false" ht="15" hidden="false" customHeight="false" outlineLevel="0" collapsed="false">
      <c r="A54" s="0" t="s">
        <v>295</v>
      </c>
      <c r="B54" s="0" t="n">
        <f aca="false">SUM(B48:B53)</f>
        <v>1729</v>
      </c>
      <c r="C54" s="0" t="n">
        <f aca="false">SUM(C48:C53)</f>
        <v>47653.242</v>
      </c>
      <c r="D54" s="0" t="n">
        <f aca="false">SUM(D48:D53)</f>
        <v>74669.4549</v>
      </c>
      <c r="E54" s="0" t="n">
        <f aca="false">SUM(E48:E53)</f>
        <v>104787.094125</v>
      </c>
      <c r="F54" s="0" t="n">
        <f aca="false">SUM(F48:F53)</f>
        <v>140363.92795125</v>
      </c>
      <c r="G54" s="0" t="n">
        <f aca="false">SUM(G48:G53)</f>
        <v>173915.209868813</v>
      </c>
    </row>
    <row r="56" customFormat="false" ht="15" hidden="false" customHeight="false" outlineLevel="0" collapsed="false">
      <c r="A56" s="1" t="s">
        <v>296</v>
      </c>
    </row>
    <row r="57" customFormat="false" ht="15" hidden="false" customHeight="false" outlineLevel="0" collapsed="false">
      <c r="A57" s="0" t="s">
        <v>297</v>
      </c>
      <c r="B57" s="0" t="n">
        <f aca="false">B45-B54</f>
        <v>-1729</v>
      </c>
      <c r="C57" s="0" t="n">
        <f aca="false">C45-C54</f>
        <v>207346.758</v>
      </c>
      <c r="D57" s="0" t="n">
        <f aca="false">D45-D54</f>
        <v>398730.5451</v>
      </c>
      <c r="E57" s="0" t="n">
        <f aca="false">E45-E54</f>
        <v>686612.905875</v>
      </c>
      <c r="F57" s="0" t="n">
        <f aca="false">F45-F54</f>
        <v>708636.07204875</v>
      </c>
      <c r="G57" s="0" t="n">
        <f aca="false">G45-G54</f>
        <v>871884.790131188</v>
      </c>
    </row>
    <row r="58" customFormat="false" ht="15" hidden="false" customHeight="false" outlineLevel="0" collapsed="false">
      <c r="A58" s="0" t="s">
        <v>298</v>
      </c>
      <c r="B58" s="0" t="n">
        <f aca="false">MIN(0,B57)</f>
        <v>-1729</v>
      </c>
      <c r="C58" s="0" t="n">
        <f aca="false">MIN(0,B58+C57)</f>
        <v>0</v>
      </c>
      <c r="D58" s="0" t="n">
        <f aca="false">MIN(0,C58+D57)</f>
        <v>0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299</v>
      </c>
      <c r="B59" s="0" t="n">
        <f aca="false">alicuota_ganancias*MAX(0,B57)</f>
        <v>0</v>
      </c>
      <c r="C59" s="0" t="n">
        <f aca="false">alicuota_ganancias*MAX(0,B58+C57)</f>
        <v>71966.2153</v>
      </c>
      <c r="D59" s="0" t="n">
        <f aca="false">alicuota_ganancias*MAX(0,C58+D57)</f>
        <v>139555.690785</v>
      </c>
      <c r="E59" s="0" t="n">
        <f aca="false">alicuota_ganancias*MAX(0,D58+E57)</f>
        <v>240314.51705625</v>
      </c>
      <c r="F59" s="0" t="n">
        <f aca="false">alicuota_ganancias*MAX(0,E58+F57)</f>
        <v>248022.625217062</v>
      </c>
      <c r="G59" s="0" t="n">
        <f aca="false">alicuota_ganancias*MAX(0,F58+G57)</f>
        <v>305159.676545916</v>
      </c>
    </row>
    <row r="60" customFormat="false" ht="15" hidden="false" customHeight="false" outlineLevel="0" collapsed="false">
      <c r="A60" s="0" t="s">
        <v>300</v>
      </c>
      <c r="B60" s="0" t="n">
        <f aca="false">meses_cobro/meses_anio*B45</f>
        <v>0</v>
      </c>
      <c r="C60" s="0" t="n">
        <f aca="false">meses_cobro/meses_anio*C45</f>
        <v>42500</v>
      </c>
      <c r="D60" s="0" t="n">
        <f aca="false">meses_cobro/meses_anio*D45</f>
        <v>78900</v>
      </c>
      <c r="E60" s="0" t="n">
        <f aca="false">meses_cobro/meses_anio*E45</f>
        <v>131900</v>
      </c>
      <c r="F60" s="0" t="n">
        <f aca="false">meses_cobro/meses_anio*F45</f>
        <v>141500</v>
      </c>
      <c r="G60" s="0" t="n">
        <f aca="false">meses_cobro/meses_anio*G45</f>
        <v>174300</v>
      </c>
    </row>
    <row r="61" customFormat="false" ht="15" hidden="false" customHeight="false" outlineLevel="0" collapsed="false">
      <c r="A61" s="0" t="s">
        <v>301</v>
      </c>
      <c r="B61" s="0" t="n">
        <f aca="false">B60</f>
        <v>0</v>
      </c>
      <c r="C61" s="0" t="n">
        <f aca="false">C60-B60</f>
        <v>42500</v>
      </c>
      <c r="D61" s="0" t="n">
        <f aca="false">D60-C60</f>
        <v>36400</v>
      </c>
      <c r="E61" s="0" t="n">
        <f aca="false">E60-D60</f>
        <v>53000</v>
      </c>
      <c r="F61" s="0" t="n">
        <f aca="false">F60-E60</f>
        <v>9600</v>
      </c>
      <c r="G61" s="0" t="n">
        <f aca="false">G60-F60</f>
        <v>32800</v>
      </c>
    </row>
    <row r="62" customFormat="false" ht="15" hidden="false" customHeight="false" outlineLevel="0" collapsed="false">
      <c r="A62" s="0" t="s">
        <v>302</v>
      </c>
      <c r="G62" s="0" t="n">
        <f aca="false">G60</f>
        <v>174300</v>
      </c>
    </row>
    <row r="64" customFormat="false" ht="15" hidden="false" customHeight="false" outlineLevel="0" collapsed="false">
      <c r="A64" s="1" t="s">
        <v>303</v>
      </c>
    </row>
    <row r="65" customFormat="false" ht="15" hidden="false" customHeight="false" outlineLevel="0" collapsed="false">
      <c r="A65" s="0" t="s">
        <v>304</v>
      </c>
      <c r="B65" s="0" t="n">
        <f aca="false">B57-B59-B61+N(B62)</f>
        <v>-1729</v>
      </c>
      <c r="C65" s="0" t="n">
        <f aca="false">C57-C59-C61+N(C62)</f>
        <v>92880.5427</v>
      </c>
      <c r="D65" s="0" t="n">
        <f aca="false">D57-D59-D61+N(D62)</f>
        <v>222774.854315</v>
      </c>
      <c r="E65" s="0" t="n">
        <f aca="false">E57-E59-E61+N(E62)</f>
        <v>393298.38881875</v>
      </c>
      <c r="F65" s="0" t="n">
        <f aca="false">F57-F59-F61+N(F62)</f>
        <v>451013.446831688</v>
      </c>
      <c r="G65" s="0" t="n">
        <f aca="false">G57-G59-G61+N(G62)</f>
        <v>708225.113585272</v>
      </c>
    </row>
    <row r="66" customFormat="false" ht="15" hidden="false" customHeight="false" outlineLevel="0" collapsed="false">
      <c r="A66" s="0" t="s">
        <v>305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306</v>
      </c>
      <c r="B67" s="0" t="n">
        <f aca="false">B65*B66</f>
        <v>-1729</v>
      </c>
      <c r="C67" s="0" t="n">
        <f aca="false">C65*C66</f>
        <v>74304.43416</v>
      </c>
      <c r="D67" s="0" t="n">
        <f aca="false">D65*D66</f>
        <v>142575.9067616</v>
      </c>
      <c r="E67" s="0" t="n">
        <f aca="false">E65*E66</f>
        <v>201368.7750752</v>
      </c>
      <c r="F67" s="0" t="n">
        <f aca="false">F65*F66</f>
        <v>184735.107822259</v>
      </c>
      <c r="G67" s="0" t="n">
        <f aca="false">G65*G66</f>
        <v>232071.205219622</v>
      </c>
    </row>
    <row r="68" customFormat="false" ht="15" hidden="false" customHeight="false" outlineLevel="0" collapsed="false">
      <c r="A68" s="0" t="s">
        <v>307</v>
      </c>
      <c r="B68" s="0" t="n">
        <f aca="false">B65</f>
        <v>-1729</v>
      </c>
      <c r="C68" s="0" t="n">
        <f aca="false">B68+C65</f>
        <v>91151.5427</v>
      </c>
      <c r="D68" s="0" t="n">
        <f aca="false">C68+D65</f>
        <v>313926.397015</v>
      </c>
      <c r="E68" s="0" t="n">
        <f aca="false">D68+E65</f>
        <v>707224.78583375</v>
      </c>
      <c r="F68" s="0" t="n">
        <f aca="false">E68+F65</f>
        <v>1158238.23266544</v>
      </c>
      <c r="G68" s="0" t="n">
        <f aca="false">F68+G65</f>
        <v>1866463.34625071</v>
      </c>
    </row>
    <row r="69" customFormat="false" ht="15" hidden="false" customHeight="false" outlineLevel="0" collapsed="false">
      <c r="A69" s="0" t="s">
        <v>308</v>
      </c>
      <c r="B69" s="0" t="n">
        <f aca="false">B67</f>
        <v>-1729</v>
      </c>
      <c r="C69" s="0" t="n">
        <f aca="false">B69+C67</f>
        <v>72575.43416</v>
      </c>
      <c r="D69" s="0" t="n">
        <f aca="false">C69+D67</f>
        <v>215151.3409216</v>
      </c>
      <c r="E69" s="0" t="n">
        <f aca="false">D69+E67</f>
        <v>416520.1159968</v>
      </c>
      <c r="F69" s="0" t="n">
        <f aca="false">E69+F67</f>
        <v>601255.223819059</v>
      </c>
      <c r="G69" s="0" t="n">
        <f aca="false">F69+G67</f>
        <v>833326.429038681</v>
      </c>
    </row>
    <row r="70" customFormat="false" ht="15" hidden="false" customHeight="false" outlineLevel="0" collapsed="false">
      <c r="A70" s="0" t="s">
        <v>309</v>
      </c>
      <c r="C70" s="0" t="n">
        <f aca="false">IF(AND(B68&lt;0,C68&gt;=0),C$3-1+(-B68)/C65,"")</f>
        <v>0.0186153089736415</v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310</v>
      </c>
      <c r="C71" s="0" t="n">
        <f aca="false">IF(AND(B69&lt;0,C69&gt;=0),C$3-1+(-B69)/C67,"")</f>
        <v>0.0232691362170518</v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311</v>
      </c>
    </row>
    <row r="74" customFormat="false" ht="15" hidden="false" customHeight="false" outlineLevel="0" collapsed="false">
      <c r="A74" s="0" t="s">
        <v>232</v>
      </c>
      <c r="B74" s="0" t="n">
        <f aca="false">SUM(B67:G67)</f>
        <v>833326.429038681</v>
      </c>
    </row>
    <row r="75" customFormat="false" ht="15" hidden="false" customHeight="false" outlineLevel="0" collapsed="false">
      <c r="A75" s="0" t="s">
        <v>233</v>
      </c>
      <c r="B75" s="2" t="n">
        <f aca="false">IFERROR(IRR(B65:G65),"no definida")</f>
        <v>55.0901724757085</v>
      </c>
    </row>
    <row r="76" customFormat="false" ht="15" hidden="false" customHeight="false" outlineLevel="0" collapsed="false">
      <c r="A76" s="0" t="s">
        <v>234</v>
      </c>
      <c r="B76" s="0" t="n">
        <f aca="false">IF(COUNT(C70:G70)=0,"no se recupera",MIN(C70:G70))</f>
        <v>0.0186153089736415</v>
      </c>
    </row>
    <row r="77" customFormat="false" ht="15" hidden="false" customHeight="false" outlineLevel="0" collapsed="false">
      <c r="A77" s="0" t="s">
        <v>235</v>
      </c>
      <c r="B77" s="0" t="n">
        <f aca="false">IF(COUNT(C71:G71)=0,"no se recupera",MIN(C71:G71))</f>
        <v>0.0232691362170518</v>
      </c>
    </row>
    <row r="78" customFormat="false" ht="15" hidden="false" customHeight="false" outlineLevel="0" collapsed="false">
      <c r="A78" s="0" t="s">
        <v>238</v>
      </c>
      <c r="B78" s="0" t="n">
        <f aca="false">SUM(B67:G67)+MAX(0,G65-G62)*(1+crecimiento_perpetuo)/(tasa_descuento-crecimiento_perpetuo)/(1+tasa_descuento)^5</f>
        <v>1609220.83270831</v>
      </c>
    </row>
    <row r="79" customFormat="false" ht="15" hidden="false" customHeight="false" outlineLevel="0" collapsed="false">
      <c r="A79" s="0" t="s">
        <v>237</v>
      </c>
      <c r="B79" s="0" t="n">
        <f aca="false">IFERROR(G45/G36,"no definido")</f>
        <v>10781.4432989691</v>
      </c>
    </row>
    <row r="80" customFormat="false" ht="15" hidden="false" customHeight="false" outlineLevel="0" collapsed="false">
      <c r="A80" s="0" t="s">
        <v>236</v>
      </c>
      <c r="B80" s="0" t="n">
        <f aca="false">IFERROR(ROUNDUP(G54/B79,0),"no definido")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0" t="s">
        <v>247</v>
      </c>
      <c r="B2" s="0" t="n">
        <v>2</v>
      </c>
    </row>
    <row r="3" customFormat="false" ht="15" hidden="false" customHeight="false" outlineLevel="0" collapsed="false">
      <c r="A3" s="0" t="s">
        <v>248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249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250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251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252</v>
      </c>
      <c r="C7" s="0" t="n">
        <f aca="false">INDEX(usuarios_activos,C$3,$B$2)</f>
        <v>2000</v>
      </c>
      <c r="D7" s="0" t="n">
        <f aca="false">INDEX(usuarios_activos,D$3,$B$2)</f>
        <v>8000</v>
      </c>
      <c r="E7" s="0" t="n">
        <f aca="false">INDEX(usuarios_activos,E$3,$B$2)</f>
        <v>20000</v>
      </c>
      <c r="F7" s="0" t="n">
        <f aca="false">INDEX(usuarios_activos,F$3,$B$2)</f>
        <v>40000</v>
      </c>
      <c r="G7" s="0" t="n">
        <f aca="false">INDEX(usuarios_activos,G$3,$B$2)</f>
        <v>60000</v>
      </c>
    </row>
    <row r="9" customFormat="false" ht="15" hidden="false" customHeight="false" outlineLevel="0" collapsed="false">
      <c r="A9" s="1" t="s">
        <v>160</v>
      </c>
    </row>
    <row r="10" customFormat="false" ht="15" hidden="false" customHeight="false" outlineLevel="0" collapsed="false">
      <c r="A10" s="0" t="s">
        <v>253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254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255</v>
      </c>
      <c r="C12" s="0" t="n">
        <f aca="false">C6*ROUND(INDEX(capt_medios_grandes,1,$B$2)*sens_captacion*(u_medios_grandes-C10),0)</f>
        <v>0</v>
      </c>
      <c r="D12" s="0" t="n">
        <f aca="false">D6*ROUND(INDEX(capt_medios_grandes,1,$B$2)*sens_captacion*(u_medios_grandes-D10),0)</f>
        <v>1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1</v>
      </c>
      <c r="G12" s="0" t="n">
        <f aca="false">G6*ROUND(INDEX(capt_medios_grandes,1,$B$2)*sens_captacion*(u_medios_grandes-G10),0)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256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257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258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259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260</v>
      </c>
      <c r="C17" s="0" t="n">
        <f aca="false">C6*ROUND(INDEX(capt_medios_chicos,1,$B$2)*sens_captacion*(u_medios_chicos-C15),0)</f>
        <v>0</v>
      </c>
      <c r="D17" s="0" t="n">
        <f aca="false">D6*ROUND(INDEX(capt_medios_chicos,1,$B$2)*sens_captacion*(u_medios_chicos-D15),0)</f>
        <v>5</v>
      </c>
      <c r="E17" s="0" t="n">
        <f aca="false">E6*ROUND(INDEX(capt_medios_chicos,1,$B$2)*sens_captacion*(u_medios_chicos-E15),0)</f>
        <v>4</v>
      </c>
      <c r="F17" s="0" t="n">
        <f aca="false">F6*ROUND(INDEX(capt_medios_chicos,1,$B$2)*sens_captacion*(u_medios_chicos-F15),0)</f>
        <v>4</v>
      </c>
      <c r="G17" s="0" t="n">
        <f aca="false">G6*ROUND(INDEX(capt_medios_chicos,1,$B$2)*sens_captacion*(u_medios_chicos-G15),0)</f>
        <v>4</v>
      </c>
    </row>
    <row r="18" customFormat="false" ht="15" hidden="false" customHeight="false" outlineLevel="0" collapsed="false">
      <c r="A18" s="0" t="s">
        <v>261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262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263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264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265</v>
      </c>
      <c r="C22" s="0" t="n">
        <f aca="false">C6*ROUND(INDEX(capt_verificadores,1,$B$2)*sens_captacion*(u_verificadores-C20),0)</f>
        <v>0</v>
      </c>
      <c r="D22" s="0" t="n">
        <f aca="false">D6*ROUND(INDEX(capt_verificadores,1,$B$2)*sens_captacion*(u_verificadores-D20),0)</f>
        <v>1</v>
      </c>
      <c r="E22" s="0" t="n">
        <f aca="false">E6*ROUND(INDEX(capt_verificadores,1,$B$2)*sens_captacion*(u_verificadores-E20),0)</f>
        <v>1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266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267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268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269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270</v>
      </c>
      <c r="C27" s="0" t="n">
        <f aca="false">C6*ROUND(INDEX(capt_universidades,1,$B$2)*sens_captacion*(u_universidades-C25),0)</f>
        <v>0</v>
      </c>
      <c r="D27" s="0" t="n">
        <f aca="false">D6*ROUND(INDEX(capt_universidades,1,$B$2)*sens_captacion*(u_universidades-D25),0)</f>
        <v>6</v>
      </c>
      <c r="E27" s="0" t="n">
        <f aca="false">E6*ROUND(INDEX(capt_universidades,1,$B$2)*sens_captacion*(u_universidades-E25),0)</f>
        <v>6</v>
      </c>
      <c r="F27" s="0" t="n">
        <f aca="false">F6*ROUND(INDEX(capt_universidades,1,$B$2)*sens_captacion*(u_universidades-F25),0)</f>
        <v>6</v>
      </c>
      <c r="G27" s="0" t="n">
        <f aca="false">G6*ROUND(INDEX(capt_universidades,1,$B$2)*sens_captacion*(u_universidades-G25),0)</f>
        <v>5</v>
      </c>
    </row>
    <row r="28" customFormat="false" ht="15" hidden="false" customHeight="false" outlineLevel="0" collapsed="false">
      <c r="A28" s="0" t="s">
        <v>271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272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273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274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275</v>
      </c>
      <c r="C32" s="0" t="n">
        <f aca="false">C6*ROUND(INDEX(capt_agencias,1,$B$2)*sens_captacion*(u_agencias-C30),0)</f>
        <v>0</v>
      </c>
      <c r="D32" s="0" t="n">
        <f aca="false">D6*ROUND(INDEX(capt_agencias,1,$B$2)*sens_captacion*(u_agencias-D30),0)</f>
        <v>2</v>
      </c>
      <c r="E32" s="0" t="n">
        <f aca="false">E6*ROUND(INDEX(capt_agencias,1,$B$2)*sens_captacion*(u_agencias-E30),0)</f>
        <v>2</v>
      </c>
      <c r="F32" s="0" t="n">
        <f aca="false">F6*ROUND(INDEX(capt_agencias,1,$B$2)*sens_captacion*(u_agencias-F30),0)</f>
        <v>2</v>
      </c>
      <c r="G32" s="0" t="n">
        <f aca="false">G6*ROUND(INDEX(capt_agencias,1,$B$2)*sens_captacion*(u_agencias-G30),0)</f>
        <v>2</v>
      </c>
    </row>
    <row r="33" customFormat="false" ht="15" hidden="false" customHeight="false" outlineLevel="0" collapsed="false">
      <c r="A33" s="0" t="s">
        <v>276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277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278</v>
      </c>
      <c r="C35" s="0" t="n">
        <f aca="false">C5*C6*ROUND(INDEX(capt_organismos,1,$B$2)*sens_captacion*u_organismos,0)</f>
        <v>0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2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2</v>
      </c>
    </row>
    <row r="36" customFormat="false" ht="15" hidden="false" customHeight="false" outlineLevel="0" collapsed="false">
      <c r="A36" s="0" t="s">
        <v>279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280</v>
      </c>
    </row>
    <row r="39" customFormat="false" ht="15" hidden="false" customHeight="false" outlineLevel="0" collapsed="false">
      <c r="A39" s="0" t="s">
        <v>281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15000</v>
      </c>
      <c r="E39" s="0" t="n">
        <f aca="false">E14*INDEX(precio_medios_grandes,1,$B$2)*sens_precios*meses_anio</f>
        <v>45000</v>
      </c>
      <c r="F39" s="0" t="n">
        <f aca="false">F14*INDEX(precio_medios_grandes,1,$B$2)*sens_precios*meses_anio</f>
        <v>75000</v>
      </c>
      <c r="G39" s="0" t="n">
        <f aca="false">G14*INDEX(precio_medios_grandes,1,$B$2)*sens_precios*meses_anio</f>
        <v>105000</v>
      </c>
    </row>
    <row r="40" customFormat="false" ht="15" hidden="false" customHeight="false" outlineLevel="0" collapsed="false">
      <c r="A40" s="0" t="s">
        <v>282</v>
      </c>
      <c r="C40" s="0" t="n">
        <f aca="false">C19*precio_medios_chicos*sens_precios*meses_anio</f>
        <v>0</v>
      </c>
      <c r="D40" s="0" t="n">
        <f aca="false">D19*precio_medios_chicos*sens_precios*meses_anio</f>
        <v>6000</v>
      </c>
      <c r="E40" s="0" t="n">
        <f aca="false">E19*precio_medios_chicos*sens_precios*meses_anio</f>
        <v>15600</v>
      </c>
      <c r="F40" s="0" t="n">
        <f aca="false">F19*precio_medios_chicos*sens_precios*meses_anio</f>
        <v>21600</v>
      </c>
      <c r="G40" s="0" t="n">
        <f aca="false">G19*precio_medios_chicos*sens_precios*meses_anio</f>
        <v>26400</v>
      </c>
    </row>
    <row r="41" customFormat="false" ht="15" hidden="false" customHeight="false" outlineLevel="0" collapsed="false">
      <c r="A41" s="0" t="s">
        <v>283</v>
      </c>
      <c r="C41" s="0" t="n">
        <f aca="false">C24*precio_verificadores*sens_precios*meses_anio</f>
        <v>0</v>
      </c>
      <c r="D41" s="0" t="n">
        <f aca="false">D24*precio_verificadores*sens_precios*meses_anio</f>
        <v>3000</v>
      </c>
      <c r="E41" s="0" t="n">
        <f aca="false">E24*precio_verificadores*sens_precios*meses_anio</f>
        <v>9000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284</v>
      </c>
      <c r="C42" s="0" t="n">
        <f aca="false">C29*precio_universidades*sens_precios*meses_anio</f>
        <v>0</v>
      </c>
      <c r="D42" s="0" t="n">
        <f aca="false">D29*precio_universidades*sens_precios*meses_anio</f>
        <v>3600</v>
      </c>
      <c r="E42" s="0" t="n">
        <f aca="false">E29*precio_universidades*sens_precios*meses_anio</f>
        <v>10200</v>
      </c>
      <c r="F42" s="0" t="n">
        <f aca="false">F29*precio_universidades*sens_precios*meses_anio</f>
        <v>16200</v>
      </c>
      <c r="G42" s="0" t="n">
        <f aca="false">G29*precio_universidades*sens_precios*meses_anio</f>
        <v>21000</v>
      </c>
    </row>
    <row r="43" customFormat="false" ht="15" hidden="false" customHeight="false" outlineLevel="0" collapsed="false">
      <c r="A43" s="0" t="s">
        <v>285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30000</v>
      </c>
      <c r="E43" s="0" t="n">
        <f aca="false">E34*INDEX(precio_agencias,1,$B$2)*sens_precios*meses_anio</f>
        <v>90000</v>
      </c>
      <c r="F43" s="0" t="n">
        <f aca="false">F34*INDEX(precio_agencias,1,$B$2)*sens_precios*meses_anio</f>
        <v>135000</v>
      </c>
      <c r="G43" s="0" t="n">
        <f aca="false">G34*INDEX(precio_agencias,1,$B$2)*sens_precios*meses_anio</f>
        <v>165000</v>
      </c>
    </row>
    <row r="44" customFormat="false" ht="15" hidden="false" customHeight="false" outlineLevel="0" collapsed="false">
      <c r="A44" s="0" t="s">
        <v>286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40000</v>
      </c>
      <c r="F44" s="0" t="n">
        <f aca="false">F35*INDEX(precio_organismos,1,$B$2)*sens_precios</f>
        <v>0</v>
      </c>
      <c r="G44" s="0" t="n">
        <f aca="false">G35*INDEX(precio_organismos,1,$B$2)*sens_precios</f>
        <v>40000</v>
      </c>
    </row>
    <row r="45" customFormat="false" ht="15" hidden="false" customHeight="false" outlineLevel="0" collapsed="false">
      <c r="A45" s="0" t="s">
        <v>287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288</v>
      </c>
    </row>
    <row r="48" customFormat="false" ht="15" hidden="false" customHeight="false" outlineLevel="0" collapsed="false">
      <c r="A48" s="0" t="s">
        <v>289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290</v>
      </c>
      <c r="B49" s="0" t="n">
        <f aca="false">inv_infraestructura_0</f>
        <v>156</v>
      </c>
      <c r="C49" s="0" t="n">
        <f aca="false">meses_anio*(infra_base+infra_escalado*C7/ua_escalado)+dominio_anual</f>
        <v>279</v>
      </c>
      <c r="D49" s="0" t="n">
        <f aca="false">meses_anio*(infra_base+infra_escalado*D7/ua_escalado)+dominio_anual</f>
        <v>351</v>
      </c>
      <c r="E49" s="0" t="n">
        <f aca="false">meses_anio*(infra_base+infra_escalado*E7/ua_escalado)+dominio_anual</f>
        <v>495</v>
      </c>
      <c r="F49" s="0" t="n">
        <f aca="false">meses_anio*(infra_base+infra_escalado*F7/ua_escalado)+dominio_anual</f>
        <v>735</v>
      </c>
      <c r="G49" s="0" t="n">
        <f aca="false">meses_anio*(infra_base+infra_escalado*G7/ua_escalado)+dominio_anual</f>
        <v>975</v>
      </c>
    </row>
    <row r="50" customFormat="false" ht="15" hidden="false" customHeight="false" outlineLevel="0" collapsed="false">
      <c r="A50" s="0" t="s">
        <v>291</v>
      </c>
      <c r="C50" s="0" t="n">
        <f aca="false">INDEX(marketing,C$3,$B$2)</f>
        <v>4000</v>
      </c>
      <c r="D50" s="0" t="n">
        <f aca="false">INDEX(marketing,D$3,$B$2)</f>
        <v>6000</v>
      </c>
      <c r="E50" s="0" t="n">
        <f aca="false">INDEX(marketing,E$3,$B$2)</f>
        <v>8000</v>
      </c>
      <c r="F50" s="0" t="n">
        <f aca="false">INDEX(marketing,F$3,$B$2)</f>
        <v>10000</v>
      </c>
      <c r="G50" s="0" t="n">
        <f aca="false">INDEX(marketing,G$3,$B$2)</f>
        <v>12000</v>
      </c>
    </row>
    <row r="51" customFormat="false" ht="15" hidden="false" customHeight="false" outlineLevel="0" collapsed="false">
      <c r="A51" s="0" t="s">
        <v>292</v>
      </c>
      <c r="B51" s="0" t="n">
        <f aca="false">inv_dominio+inv_chrome_web_store+inv_marca_inpi+inv_legal</f>
        <v>1573</v>
      </c>
    </row>
    <row r="52" customFormat="false" ht="15" hidden="false" customHeight="false" outlineLevel="0" collapsed="false">
      <c r="A52" s="0" t="s">
        <v>293</v>
      </c>
      <c r="C52" s="0" t="n">
        <f aca="false">C7*MIN(INDEX(analisis_por_ua_mes,1,$B$2),tope_mensual)*meses_anio*(1-INDEX(tasa_reuso,1,$B$2))*INDEX(costo_analisis,1,$B$2)*sens_costo_analisis</f>
        <v>2070.096</v>
      </c>
      <c r="D52" s="0" t="n">
        <f aca="false">D7*MIN(INDEX(analisis_por_ua_mes,1,$B$2),tope_mensual)*meses_anio*(1-INDEX(tasa_reuso,1,$B$2))*INDEX(costo_analisis,1,$B$2)*sens_costo_analisis</f>
        <v>8280.384</v>
      </c>
      <c r="E52" s="0" t="n">
        <f aca="false">E7*MIN(INDEX(analisis_por_ua_mes,1,$B$2),tope_mensual)*meses_anio*(1-INDEX(tasa_reuso,1,$B$2))*INDEX(costo_analisis,1,$B$2)*sens_costo_analisis</f>
        <v>20700.96</v>
      </c>
      <c r="F52" s="0" t="n">
        <f aca="false">F7*MIN(INDEX(analisis_por_ua_mes,1,$B$2),tope_mensual)*meses_anio*(1-INDEX(tasa_reuso,1,$B$2))*INDEX(costo_analisis,1,$B$2)*sens_costo_analisis</f>
        <v>41401.92</v>
      </c>
      <c r="G52" s="0" t="n">
        <f aca="false">G7*MIN(INDEX(analisis_por_ua_mes,1,$B$2),tope_mensual)*meses_anio*(1-INDEX(tasa_reuso,1,$B$2))*INDEX(costo_analisis,1,$B$2)*sens_costo_analisis</f>
        <v>62102.88</v>
      </c>
    </row>
    <row r="53" customFormat="false" ht="15" hidden="false" customHeight="false" outlineLevel="0" collapsed="false">
      <c r="A53" s="0" t="s">
        <v>294</v>
      </c>
      <c r="C53" s="0" t="n">
        <f aca="false">((C19+C24)*INDEX(consultas_pro_mes,1,$B$2)+(C14+C34)*INDEX(consultas_ent_mes,1,$B$2))*meses_anio*(1-INDEX(tasa_reuso,1,$B$2))*INDEX(costo_analisis,1,$B$2)*sens_costo_analisis</f>
        <v>0</v>
      </c>
      <c r="D53" s="0" t="n">
        <f aca="false">((D19+D24)*INDEX(consultas_pro_mes,1,$B$2)+(D14+D34)*INDEX(consultas_ent_mes,1,$B$2))*meses_anio*(1-INDEX(tasa_reuso,1,$B$2))*INDEX(costo_analisis,1,$B$2)*sens_costo_analisis</f>
        <v>14904.6912</v>
      </c>
      <c r="E53" s="0" t="n">
        <f aca="false">((E19+E24)*INDEX(consultas_pro_mes,1,$B$2)+(E14+E34)*INDEX(consultas_ent_mes,1,$B$2))*meses_anio*(1-INDEX(tasa_reuso,1,$B$2))*INDEX(costo_analisis,1,$B$2)*sens_costo_analisis</f>
        <v>43886.0352</v>
      </c>
      <c r="F53" s="0" t="n">
        <f aca="false">((F19+F24)*INDEX(consultas_pro_mes,1,$B$2)+(F14+F34)*INDEX(consultas_ent_mes,1,$B$2))*meses_anio*(1-INDEX(tasa_reuso,1,$B$2))*INDEX(costo_analisis,1,$B$2)*sens_costo_analisis</f>
        <v>67071.1104</v>
      </c>
      <c r="G53" s="0" t="n">
        <f aca="false">((G19+G24)*INDEX(consultas_pro_mes,1,$B$2)+(G14+G34)*INDEX(consultas_ent_mes,1,$B$2))*meses_anio*(1-INDEX(tasa_reuso,1,$B$2))*INDEX(costo_analisis,1,$B$2)*sens_costo_analisis</f>
        <v>85287.9552</v>
      </c>
    </row>
    <row r="54" customFormat="false" ht="15" hidden="false" customHeight="false" outlineLevel="0" collapsed="false">
      <c r="A54" s="0" t="s">
        <v>295</v>
      </c>
      <c r="B54" s="0" t="n">
        <f aca="false">SUM(B48:B53)</f>
        <v>1729</v>
      </c>
      <c r="C54" s="0" t="n">
        <f aca="false">SUM(C48:C53)</f>
        <v>37135.306</v>
      </c>
      <c r="D54" s="0" t="n">
        <f aca="false">SUM(D48:D53)</f>
        <v>61861.5957</v>
      </c>
      <c r="E54" s="0" t="n">
        <f aca="false">SUM(E48:E53)</f>
        <v>107023.791725</v>
      </c>
      <c r="F54" s="0" t="n">
        <f aca="false">SUM(F48:F53)</f>
        <v>154846.91675125</v>
      </c>
      <c r="G54" s="0" t="n">
        <f aca="false">SUM(G48:G53)</f>
        <v>197786.665868813</v>
      </c>
    </row>
    <row r="56" customFormat="false" ht="15" hidden="false" customHeight="false" outlineLevel="0" collapsed="false">
      <c r="A56" s="1" t="s">
        <v>296</v>
      </c>
    </row>
    <row r="57" customFormat="false" ht="15" hidden="false" customHeight="false" outlineLevel="0" collapsed="false">
      <c r="A57" s="0" t="s">
        <v>297</v>
      </c>
      <c r="B57" s="0" t="n">
        <f aca="false">B45-B54</f>
        <v>-1729</v>
      </c>
      <c r="C57" s="0" t="n">
        <f aca="false">C45-C54</f>
        <v>-37135.306</v>
      </c>
      <c r="D57" s="0" t="n">
        <f aca="false">D45-D54</f>
        <v>-4261.59570000001</v>
      </c>
      <c r="E57" s="0" t="n">
        <f aca="false">E45-E54</f>
        <v>102776.208275</v>
      </c>
      <c r="F57" s="0" t="n">
        <f aca="false">F45-F54</f>
        <v>104953.08324875</v>
      </c>
      <c r="G57" s="0" t="n">
        <f aca="false">G45-G54</f>
        <v>171613.334131188</v>
      </c>
    </row>
    <row r="58" customFormat="false" ht="15" hidden="false" customHeight="false" outlineLevel="0" collapsed="false">
      <c r="A58" s="0" t="s">
        <v>298</v>
      </c>
      <c r="B58" s="0" t="n">
        <f aca="false">MIN(0,B57)</f>
        <v>-1729</v>
      </c>
      <c r="C58" s="0" t="n">
        <f aca="false">MIN(0,B58+C57)</f>
        <v>-38864.306</v>
      </c>
      <c r="D58" s="0" t="n">
        <f aca="false">MIN(0,C58+D57)</f>
        <v>-43125.9017</v>
      </c>
      <c r="E58" s="0" t="n">
        <f aca="false">MIN(0,D58+E57)</f>
        <v>0</v>
      </c>
      <c r="F58" s="0" t="n">
        <f aca="false">MIN(0,E58+F57)</f>
        <v>0</v>
      </c>
      <c r="G58" s="0" t="n">
        <f aca="false">MIN(0,F58+G57)</f>
        <v>0</v>
      </c>
    </row>
    <row r="59" customFormat="false" ht="15" hidden="false" customHeight="false" outlineLevel="0" collapsed="false">
      <c r="A59" s="0" t="s">
        <v>299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20877.60730125</v>
      </c>
      <c r="F59" s="0" t="n">
        <f aca="false">alicuota_ganancias*MAX(0,E58+F57)</f>
        <v>36733.5791370625</v>
      </c>
      <c r="G59" s="0" t="n">
        <f aca="false">alicuota_ganancias*MAX(0,F58+G57)</f>
        <v>60064.6669459156</v>
      </c>
    </row>
    <row r="60" customFormat="false" ht="15" hidden="false" customHeight="false" outlineLevel="0" collapsed="false">
      <c r="A60" s="0" t="s">
        <v>300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9600</v>
      </c>
      <c r="E60" s="0" t="n">
        <f aca="false">meses_cobro/meses_anio*E45</f>
        <v>34966.6666666667</v>
      </c>
      <c r="F60" s="0" t="n">
        <f aca="false">meses_cobro/meses_anio*F45</f>
        <v>43300</v>
      </c>
      <c r="G60" s="0" t="n">
        <f aca="false">meses_cobro/meses_anio*G45</f>
        <v>61566.6666666667</v>
      </c>
    </row>
    <row r="61" customFormat="false" ht="15" hidden="false" customHeight="false" outlineLevel="0" collapsed="false">
      <c r="A61" s="0" t="s">
        <v>301</v>
      </c>
      <c r="B61" s="0" t="n">
        <f aca="false">B60</f>
        <v>0</v>
      </c>
      <c r="C61" s="0" t="n">
        <f aca="false">C60-B60</f>
        <v>0</v>
      </c>
      <c r="D61" s="0" t="n">
        <f aca="false">D60-C60</f>
        <v>9600</v>
      </c>
      <c r="E61" s="0" t="n">
        <f aca="false">E60-D60</f>
        <v>25366.6666666667</v>
      </c>
      <c r="F61" s="0" t="n">
        <f aca="false">F60-E60</f>
        <v>8333.33333333334</v>
      </c>
      <c r="G61" s="0" t="n">
        <f aca="false">G60-F60</f>
        <v>18266.6666666667</v>
      </c>
    </row>
    <row r="62" customFormat="false" ht="15" hidden="false" customHeight="false" outlineLevel="0" collapsed="false">
      <c r="A62" s="0" t="s">
        <v>302</v>
      </c>
      <c r="G62" s="0" t="n">
        <f aca="false">G60</f>
        <v>61566.6666666667</v>
      </c>
    </row>
    <row r="64" customFormat="false" ht="15" hidden="false" customHeight="false" outlineLevel="0" collapsed="false">
      <c r="A64" s="1" t="s">
        <v>303</v>
      </c>
    </row>
    <row r="65" customFormat="false" ht="15" hidden="false" customHeight="false" outlineLevel="0" collapsed="false">
      <c r="A65" s="0" t="s">
        <v>304</v>
      </c>
      <c r="B65" s="0" t="n">
        <f aca="false">B57-B59-B61+N(B62)</f>
        <v>-1729</v>
      </c>
      <c r="C65" s="0" t="n">
        <f aca="false">C57-C59-C61+N(C62)</f>
        <v>-37135.306</v>
      </c>
      <c r="D65" s="0" t="n">
        <f aca="false">D57-D59-D61+N(D62)</f>
        <v>-13861.5957</v>
      </c>
      <c r="E65" s="0" t="n">
        <f aca="false">E57-E59-E61+N(E62)</f>
        <v>56531.9343070833</v>
      </c>
      <c r="F65" s="0" t="n">
        <f aca="false">F57-F59-F61+N(F62)</f>
        <v>59886.1707783542</v>
      </c>
      <c r="G65" s="0" t="n">
        <f aca="false">G57-G59-G61+N(G62)</f>
        <v>154848.667185272</v>
      </c>
    </row>
    <row r="66" customFormat="false" ht="15" hidden="false" customHeight="false" outlineLevel="0" collapsed="false">
      <c r="A66" s="0" t="s">
        <v>305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306</v>
      </c>
      <c r="B67" s="0" t="n">
        <f aca="false">B65*B66</f>
        <v>-1729</v>
      </c>
      <c r="C67" s="0" t="n">
        <f aca="false">C65*C66</f>
        <v>-29708.2448</v>
      </c>
      <c r="D67" s="0" t="n">
        <f aca="false">D65*D66</f>
        <v>-8871.421248</v>
      </c>
      <c r="E67" s="0" t="n">
        <f aca="false">E65*E66</f>
        <v>28944.3503652267</v>
      </c>
      <c r="F67" s="0" t="n">
        <f aca="false">F65*F66</f>
        <v>24529.3755508139</v>
      </c>
      <c r="G67" s="0" t="n">
        <f aca="false">G65*G66</f>
        <v>50740.8112632699</v>
      </c>
    </row>
    <row r="68" customFormat="false" ht="15" hidden="false" customHeight="false" outlineLevel="0" collapsed="false">
      <c r="A68" s="0" t="s">
        <v>307</v>
      </c>
      <c r="B68" s="0" t="n">
        <f aca="false">B65</f>
        <v>-1729</v>
      </c>
      <c r="C68" s="0" t="n">
        <f aca="false">B68+C65</f>
        <v>-38864.306</v>
      </c>
      <c r="D68" s="0" t="n">
        <f aca="false">C68+D65</f>
        <v>-52725.9017</v>
      </c>
      <c r="E68" s="0" t="n">
        <f aca="false">D68+E65</f>
        <v>3806.03260708333</v>
      </c>
      <c r="F68" s="0" t="n">
        <f aca="false">E68+F65</f>
        <v>63692.2033854375</v>
      </c>
      <c r="G68" s="0" t="n">
        <f aca="false">F68+G65</f>
        <v>218540.870570709</v>
      </c>
    </row>
    <row r="69" customFormat="false" ht="15" hidden="false" customHeight="false" outlineLevel="0" collapsed="false">
      <c r="A69" s="0" t="s">
        <v>308</v>
      </c>
      <c r="B69" s="0" t="n">
        <f aca="false">B67</f>
        <v>-1729</v>
      </c>
      <c r="C69" s="0" t="n">
        <f aca="false">B69+C67</f>
        <v>-31437.2448</v>
      </c>
      <c r="D69" s="0" t="n">
        <f aca="false">C69+D67</f>
        <v>-40308.666048</v>
      </c>
      <c r="E69" s="0" t="n">
        <f aca="false">D69+E67</f>
        <v>-11364.3156827733</v>
      </c>
      <c r="F69" s="0" t="n">
        <f aca="false">E69+F67</f>
        <v>13165.0598680405</v>
      </c>
      <c r="G69" s="0" t="n">
        <f aca="false">F69+G67</f>
        <v>63905.8711313104</v>
      </c>
    </row>
    <row r="70" customFormat="false" ht="15" hidden="false" customHeight="false" outlineLevel="0" collapsed="false">
      <c r="A70" s="0" t="s">
        <v>309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n">
        <f aca="false">IF(AND(D68&lt;0,E68&gt;=0),E$3-1+(-D68)/E65,"")</f>
        <v>2.93267464392057</v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310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n">
        <f aca="false">IF(AND(E69&lt;0,F69&gt;=0),F$3-1+(-E69)/F67,"")</f>
        <v>3.46329412908338</v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311</v>
      </c>
    </row>
    <row r="74" customFormat="false" ht="15" hidden="false" customHeight="false" outlineLevel="0" collapsed="false">
      <c r="A74" s="0" t="s">
        <v>232</v>
      </c>
      <c r="B74" s="0" t="n">
        <f aca="false">SUM(B67:G67)</f>
        <v>63905.8711313104</v>
      </c>
    </row>
    <row r="75" customFormat="false" ht="15" hidden="false" customHeight="false" outlineLevel="0" collapsed="false">
      <c r="A75" s="0" t="s">
        <v>233</v>
      </c>
      <c r="B75" s="2" t="n">
        <f aca="false">IFERROR(IRR(B65:G65),"no definida")</f>
        <v>0.725003031811974</v>
      </c>
    </row>
    <row r="76" customFormat="false" ht="15" hidden="false" customHeight="false" outlineLevel="0" collapsed="false">
      <c r="A76" s="0" t="s">
        <v>234</v>
      </c>
      <c r="B76" s="0" t="n">
        <f aca="false">IF(COUNT(C70:G70)=0,"no se recupera",MIN(C70:G70))</f>
        <v>2.93267464392057</v>
      </c>
    </row>
    <row r="77" customFormat="false" ht="15" hidden="false" customHeight="false" outlineLevel="0" collapsed="false">
      <c r="A77" s="0" t="s">
        <v>235</v>
      </c>
      <c r="B77" s="0" t="n">
        <f aca="false">IF(COUNT(C71:G71)=0,"no se recupera",MIN(C71:G71))</f>
        <v>3.46329412908338</v>
      </c>
    </row>
    <row r="78" customFormat="false" ht="15" hidden="false" customHeight="false" outlineLevel="0" collapsed="false">
      <c r="A78" s="0" t="s">
        <v>238</v>
      </c>
      <c r="B78" s="0" t="n">
        <f aca="false">SUM(B67:G67)+MAX(0,G65-G62)*(1+crecimiento_perpetuo)/(tasa_descuento-crecimiento_perpetuo)/(1+tasa_descuento)^5</f>
        <v>199462.300907551</v>
      </c>
    </row>
    <row r="79" customFormat="false" ht="15" hidden="false" customHeight="false" outlineLevel="0" collapsed="false">
      <c r="A79" s="0" t="s">
        <v>237</v>
      </c>
      <c r="B79" s="0" t="n">
        <f aca="false">IFERROR(G45/G36,"no definido")</f>
        <v>8901.20481927711</v>
      </c>
    </row>
    <row r="80" customFormat="false" ht="15" hidden="false" customHeight="false" outlineLevel="0" collapsed="false">
      <c r="A80" s="0" t="s">
        <v>236</v>
      </c>
      <c r="B80" s="0" t="n">
        <f aca="false">IFERROR(ROUNDUP(G54/B79,0),"no definido")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0" t="s">
        <v>247</v>
      </c>
      <c r="B2" s="0" t="n">
        <v>3</v>
      </c>
    </row>
    <row r="3" customFormat="false" ht="15" hidden="false" customHeight="false" outlineLevel="0" collapsed="false">
      <c r="A3" s="0" t="s">
        <v>248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249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250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251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0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252</v>
      </c>
      <c r="C7" s="0" t="n">
        <f aca="false">INDEX(usuarios_activos,C$3,$B$2)</f>
        <v>500</v>
      </c>
      <c r="D7" s="0" t="n">
        <f aca="false">INDEX(usuarios_activos,D$3,$B$2)</f>
        <v>2000</v>
      </c>
      <c r="E7" s="0" t="n">
        <f aca="false">INDEX(usuarios_activos,E$3,$B$2)</f>
        <v>5000</v>
      </c>
      <c r="F7" s="0" t="n">
        <f aca="false">INDEX(usuarios_activos,F$3,$B$2)</f>
        <v>8000</v>
      </c>
      <c r="G7" s="0" t="n">
        <f aca="false">INDEX(usuarios_activos,G$3,$B$2)</f>
        <v>10000</v>
      </c>
    </row>
    <row r="9" customFormat="false" ht="15" hidden="false" customHeight="false" outlineLevel="0" collapsed="false">
      <c r="A9" s="1" t="s">
        <v>160</v>
      </c>
    </row>
    <row r="10" customFormat="false" ht="15" hidden="false" customHeight="false" outlineLevel="0" collapsed="false">
      <c r="A10" s="0" t="s">
        <v>253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254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255</v>
      </c>
      <c r="C12" s="0" t="n">
        <f aca="false">C6*ROUND(INDEX(capt_medios_grandes,1,$B$2)*sens_captacion*(u_medios_grandes-C10),0)</f>
        <v>0</v>
      </c>
      <c r="D12" s="0" t="n">
        <f aca="false">D6*ROUND(INDEX(capt_medios_grandes,1,$B$2)*sens_captacion*(u_medios_grandes-D10),0)</f>
        <v>0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0</v>
      </c>
      <c r="G12" s="0" t="n">
        <f aca="false">G6*ROUND(INDEX(capt_medios_grandes,1,$B$2)*sens_captacion*(u_medios_grandes-G10),0)</f>
        <v>0</v>
      </c>
    </row>
    <row r="13" customFormat="false" ht="15" hidden="false" customHeight="false" outlineLevel="0" collapsed="false">
      <c r="A13" s="0" t="s">
        <v>256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257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258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259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260</v>
      </c>
      <c r="C17" s="0" t="n">
        <f aca="false">C6*ROUND(INDEX(capt_medios_chicos,1,$B$2)*sens_captacion*(u_medios_chicos-C15),0)</f>
        <v>0</v>
      </c>
      <c r="D17" s="0" t="n">
        <f aca="false">D6*ROUND(INDEX(capt_medios_chicos,1,$B$2)*sens_captacion*(u_medios_chicos-D15),0)</f>
        <v>0</v>
      </c>
      <c r="E17" s="0" t="n">
        <f aca="false">E6*ROUND(INDEX(capt_medios_chicos,1,$B$2)*sens_captacion*(u_medios_chicos-E15),0)</f>
        <v>2</v>
      </c>
      <c r="F17" s="0" t="n">
        <f aca="false">F6*ROUND(INDEX(capt_medios_chicos,1,$B$2)*sens_captacion*(u_medios_chicos-F15),0)</f>
        <v>2</v>
      </c>
      <c r="G17" s="0" t="n">
        <f aca="false">G6*ROUND(INDEX(capt_medios_chicos,1,$B$2)*sens_captacion*(u_medios_chicos-G15),0)</f>
        <v>2</v>
      </c>
    </row>
    <row r="18" customFormat="false" ht="15" hidden="false" customHeight="false" outlineLevel="0" collapsed="false">
      <c r="A18" s="0" t="s">
        <v>261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262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263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264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265</v>
      </c>
      <c r="C22" s="0" t="n">
        <f aca="false">C6*ROUND(INDEX(capt_verificadores,1,$B$2)*sens_captacion*(u_verificadores-C20),0)</f>
        <v>0</v>
      </c>
      <c r="D22" s="0" t="n">
        <f aca="false">D6*ROUND(INDEX(capt_verificadores,1,$B$2)*sens_captacion*(u_verificadores-D20),0)</f>
        <v>0</v>
      </c>
      <c r="E22" s="0" t="n">
        <f aca="false">E6*ROUND(INDEX(capt_verificadores,1,$B$2)*sens_captacion*(u_verificadores-E20),0)</f>
        <v>1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266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267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268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269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270</v>
      </c>
      <c r="C27" s="0" t="n">
        <f aca="false">C6*ROUND(INDEX(capt_universidades,1,$B$2)*sens_captacion*(u_universidades-C25),0)</f>
        <v>0</v>
      </c>
      <c r="D27" s="0" t="n">
        <f aca="false">D6*ROUND(INDEX(capt_universidades,1,$B$2)*sens_captacion*(u_universidades-D25),0)</f>
        <v>0</v>
      </c>
      <c r="E27" s="0" t="n">
        <f aca="false">E6*ROUND(INDEX(capt_universidades,1,$B$2)*sens_captacion*(u_universidades-E25),0)</f>
        <v>3</v>
      </c>
      <c r="F27" s="0" t="n">
        <f aca="false">F6*ROUND(INDEX(capt_universidades,1,$B$2)*sens_captacion*(u_universidades-F25),0)</f>
        <v>3</v>
      </c>
      <c r="G27" s="0" t="n">
        <f aca="false">G6*ROUND(INDEX(capt_universidades,1,$B$2)*sens_captacion*(u_universidades-G25),0)</f>
        <v>3</v>
      </c>
    </row>
    <row r="28" customFormat="false" ht="15" hidden="false" customHeight="false" outlineLevel="0" collapsed="false">
      <c r="A28" s="0" t="s">
        <v>271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272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273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274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275</v>
      </c>
      <c r="C32" s="0" t="n">
        <f aca="false">C6*ROUND(INDEX(capt_agencias,1,$B$2)*sens_captacion*(u_agencias-C30),0)</f>
        <v>0</v>
      </c>
      <c r="D32" s="0" t="n">
        <f aca="false">D6*ROUND(INDEX(capt_agencias,1,$B$2)*sens_captacion*(u_agencias-D30),0)</f>
        <v>0</v>
      </c>
      <c r="E32" s="0" t="n">
        <f aca="false">E6*ROUND(INDEX(capt_agencias,1,$B$2)*sens_captacion*(u_agencias-E30),0)</f>
        <v>1</v>
      </c>
      <c r="F32" s="0" t="n">
        <f aca="false">F6*ROUND(INDEX(capt_agencias,1,$B$2)*sens_captacion*(u_agencias-F30),0)</f>
        <v>1</v>
      </c>
      <c r="G32" s="0" t="n">
        <f aca="false">G6*ROUND(INDEX(capt_agencias,1,$B$2)*sens_captacion*(u_agencias-G30),0)</f>
        <v>1</v>
      </c>
    </row>
    <row r="33" customFormat="false" ht="15" hidden="false" customHeight="false" outlineLevel="0" collapsed="false">
      <c r="A33" s="0" t="s">
        <v>276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277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278</v>
      </c>
      <c r="C35" s="0" t="n">
        <f aca="false">C5*C6*ROUND(INDEX(capt_organismos,1,$B$2)*sens_captacion*u_organismos,0)</f>
        <v>0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1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1</v>
      </c>
    </row>
    <row r="36" customFormat="false" ht="15" hidden="false" customHeight="false" outlineLevel="0" collapsed="false">
      <c r="A36" s="0" t="s">
        <v>279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280</v>
      </c>
    </row>
    <row r="39" customFormat="false" ht="15" hidden="false" customHeight="false" outlineLevel="0" collapsed="false">
      <c r="A39" s="0" t="s">
        <v>281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0</v>
      </c>
      <c r="E39" s="0" t="n">
        <f aca="false">E14*INDEX(precio_medios_grandes,1,$B$2)*sens_precios*meses_anio</f>
        <v>9000</v>
      </c>
      <c r="F39" s="0" t="n">
        <f aca="false">F14*INDEX(precio_medios_grandes,1,$B$2)*sens_precios*meses_anio</f>
        <v>18000</v>
      </c>
      <c r="G39" s="0" t="n">
        <f aca="false">G14*INDEX(precio_medios_grandes,1,$B$2)*sens_precios*meses_anio</f>
        <v>18000</v>
      </c>
    </row>
    <row r="40" customFormat="false" ht="15" hidden="false" customHeight="false" outlineLevel="0" collapsed="false">
      <c r="A40" s="0" t="s">
        <v>282</v>
      </c>
      <c r="C40" s="0" t="n">
        <f aca="false">C19*precio_medios_chicos*sens_precios*meses_anio</f>
        <v>0</v>
      </c>
      <c r="D40" s="0" t="n">
        <f aca="false">D19*precio_medios_chicos*sens_precios*meses_anio</f>
        <v>0</v>
      </c>
      <c r="E40" s="0" t="n">
        <f aca="false">E19*precio_medios_chicos*sens_precios*meses_anio</f>
        <v>2400</v>
      </c>
      <c r="F40" s="0" t="n">
        <f aca="false">F19*precio_medios_chicos*sens_precios*meses_anio</f>
        <v>6000</v>
      </c>
      <c r="G40" s="0" t="n">
        <f aca="false">G19*precio_medios_chicos*sens_precios*meses_anio</f>
        <v>8400</v>
      </c>
    </row>
    <row r="41" customFormat="false" ht="15" hidden="false" customHeight="false" outlineLevel="0" collapsed="false">
      <c r="A41" s="0" t="s">
        <v>283</v>
      </c>
      <c r="C41" s="0" t="n">
        <f aca="false">C24*precio_verificadores*sens_precios*meses_anio</f>
        <v>0</v>
      </c>
      <c r="D41" s="0" t="n">
        <f aca="false">D24*precio_verificadores*sens_precios*meses_anio</f>
        <v>0</v>
      </c>
      <c r="E41" s="0" t="n">
        <f aca="false">E24*precio_verificadores*sens_precios*meses_anio</f>
        <v>3000</v>
      </c>
      <c r="F41" s="0" t="n">
        <f aca="false">F24*precio_verificadores*sens_precios*meses_anio</f>
        <v>6000</v>
      </c>
      <c r="G41" s="0" t="n">
        <f aca="false">G24*precio_verificadores*sens_precios*meses_anio</f>
        <v>6000</v>
      </c>
    </row>
    <row r="42" customFormat="false" ht="15" hidden="false" customHeight="false" outlineLevel="0" collapsed="false">
      <c r="A42" s="0" t="s">
        <v>284</v>
      </c>
      <c r="C42" s="0" t="n">
        <f aca="false">C29*precio_universidades*sens_precios*meses_anio</f>
        <v>0</v>
      </c>
      <c r="D42" s="0" t="n">
        <f aca="false">D29*precio_universidades*sens_precios*meses_anio</f>
        <v>0</v>
      </c>
      <c r="E42" s="0" t="n">
        <f aca="false">E29*precio_universidades*sens_precios*meses_anio</f>
        <v>1800</v>
      </c>
      <c r="F42" s="0" t="n">
        <f aca="false">F29*precio_universidades*sens_precios*meses_anio</f>
        <v>5400</v>
      </c>
      <c r="G42" s="0" t="n">
        <f aca="false">G29*precio_universidades*sens_precios*meses_anio</f>
        <v>8400</v>
      </c>
    </row>
    <row r="43" customFormat="false" ht="15" hidden="false" customHeight="false" outlineLevel="0" collapsed="false">
      <c r="A43" s="0" t="s">
        <v>285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0</v>
      </c>
      <c r="E43" s="0" t="n">
        <f aca="false">E34*INDEX(precio_agencias,1,$B$2)*sens_precios*meses_anio</f>
        <v>9000</v>
      </c>
      <c r="F43" s="0" t="n">
        <f aca="false">F34*INDEX(precio_agencias,1,$B$2)*sens_precios*meses_anio</f>
        <v>27000</v>
      </c>
      <c r="G43" s="0" t="n">
        <f aca="false">G34*INDEX(precio_agencias,1,$B$2)*sens_precios*meses_anio</f>
        <v>36000</v>
      </c>
    </row>
    <row r="44" customFormat="false" ht="15" hidden="false" customHeight="false" outlineLevel="0" collapsed="false">
      <c r="A44" s="0" t="s">
        <v>286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10000</v>
      </c>
      <c r="F44" s="0" t="n">
        <f aca="false">F35*INDEX(precio_organismos,1,$B$2)*sens_precios</f>
        <v>0</v>
      </c>
      <c r="G44" s="0" t="n">
        <f aca="false">G35*INDEX(precio_organismos,1,$B$2)*sens_precios</f>
        <v>10000</v>
      </c>
    </row>
    <row r="45" customFormat="false" ht="15" hidden="false" customHeight="false" outlineLevel="0" collapsed="false">
      <c r="A45" s="0" t="s">
        <v>287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288</v>
      </c>
    </row>
    <row r="48" customFormat="false" ht="15" hidden="false" customHeight="false" outlineLevel="0" collapsed="false">
      <c r="A48" s="0" t="s">
        <v>289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290</v>
      </c>
      <c r="B49" s="0" t="n">
        <f aca="false">inv_infraestructura_0</f>
        <v>156</v>
      </c>
      <c r="C49" s="0" t="n">
        <f aca="false">meses_anio*(infra_base+infra_escalado*C7/ua_escalado)+dominio_anual</f>
        <v>261</v>
      </c>
      <c r="D49" s="0" t="n">
        <f aca="false">meses_anio*(infra_base+infra_escalado*D7/ua_escalado)+dominio_anual</f>
        <v>279</v>
      </c>
      <c r="E49" s="0" t="n">
        <f aca="false">meses_anio*(infra_base+infra_escalado*E7/ua_escalado)+dominio_anual</f>
        <v>315</v>
      </c>
      <c r="F49" s="0" t="n">
        <f aca="false">meses_anio*(infra_base+infra_escalado*F7/ua_escalado)+dominio_anual</f>
        <v>351</v>
      </c>
      <c r="G49" s="0" t="n">
        <f aca="false">meses_anio*(infra_base+infra_escalado*G7/ua_escalado)+dominio_anual</f>
        <v>375</v>
      </c>
    </row>
    <row r="50" customFormat="false" ht="15" hidden="false" customHeight="false" outlineLevel="0" collapsed="false">
      <c r="A50" s="0" t="s">
        <v>291</v>
      </c>
      <c r="C50" s="0" t="n">
        <f aca="false">INDEX(marketing,C$3,$B$2)</f>
        <v>2000</v>
      </c>
      <c r="D50" s="0" t="n">
        <f aca="false">INDEX(marketing,D$3,$B$2)</f>
        <v>3000</v>
      </c>
      <c r="E50" s="0" t="n">
        <f aca="false">INDEX(marketing,E$3,$B$2)</f>
        <v>4000</v>
      </c>
      <c r="F50" s="0" t="n">
        <f aca="false">INDEX(marketing,F$3,$B$2)</f>
        <v>5000</v>
      </c>
      <c r="G50" s="0" t="n">
        <f aca="false">INDEX(marketing,G$3,$B$2)</f>
        <v>6000</v>
      </c>
    </row>
    <row r="51" customFormat="false" ht="15" hidden="false" customHeight="false" outlineLevel="0" collapsed="false">
      <c r="A51" s="0" t="s">
        <v>292</v>
      </c>
      <c r="B51" s="0" t="n">
        <f aca="false">inv_dominio+inv_chrome_web_store+inv_marca_inpi+inv_legal</f>
        <v>1573</v>
      </c>
    </row>
    <row r="52" customFormat="false" ht="15" hidden="false" customHeight="false" outlineLevel="0" collapsed="false">
      <c r="A52" s="0" t="s">
        <v>293</v>
      </c>
      <c r="C52" s="0" t="n">
        <f aca="false">C7*MIN(INDEX(analisis_por_ua_mes,1,$B$2),tope_mensual)*meses_anio*(1-INDEX(tasa_reuso,1,$B$2))*INDEX(costo_analisis,1,$B$2)*sens_costo_analisis</f>
        <v>911.136</v>
      </c>
      <c r="D52" s="0" t="n">
        <f aca="false">D7*MIN(INDEX(analisis_por_ua_mes,1,$B$2),tope_mensual)*meses_anio*(1-INDEX(tasa_reuso,1,$B$2))*INDEX(costo_analisis,1,$B$2)*sens_costo_analisis</f>
        <v>3644.544</v>
      </c>
      <c r="E52" s="0" t="n">
        <f aca="false">E7*MIN(INDEX(analisis_por_ua_mes,1,$B$2),tope_mensual)*meses_anio*(1-INDEX(tasa_reuso,1,$B$2))*INDEX(costo_analisis,1,$B$2)*sens_costo_analisis</f>
        <v>9111.36</v>
      </c>
      <c r="F52" s="0" t="n">
        <f aca="false">F7*MIN(INDEX(analisis_por_ua_mes,1,$B$2),tope_mensual)*meses_anio*(1-INDEX(tasa_reuso,1,$B$2))*INDEX(costo_analisis,1,$B$2)*sens_costo_analisis</f>
        <v>14578.176</v>
      </c>
      <c r="G52" s="0" t="n">
        <f aca="false">G7*MIN(INDEX(analisis_por_ua_mes,1,$B$2),tope_mensual)*meses_anio*(1-INDEX(tasa_reuso,1,$B$2))*INDEX(costo_analisis,1,$B$2)*sens_costo_analisis</f>
        <v>18222.72</v>
      </c>
    </row>
    <row r="53" customFormat="false" ht="15" hidden="false" customHeight="false" outlineLevel="0" collapsed="false">
      <c r="A53" s="0" t="s">
        <v>294</v>
      </c>
      <c r="C53" s="0" t="n">
        <f aca="false">((C19+C24)*INDEX(consultas_pro_mes,1,$B$2)+(C14+C34)*INDEX(consultas_ent_mes,1,$B$2))*meses_anio*(1-INDEX(tasa_reuso,1,$B$2))*INDEX(costo_analisis,1,$B$2)*sens_costo_analisis</f>
        <v>0</v>
      </c>
      <c r="D53" s="0" t="n">
        <f aca="false">((D19+D24)*INDEX(consultas_pro_mes,1,$B$2)+(D14+D34)*INDEX(consultas_ent_mes,1,$B$2))*meses_anio*(1-INDEX(tasa_reuso,1,$B$2))*INDEX(costo_analisis,1,$B$2)*sens_costo_analisis</f>
        <v>0</v>
      </c>
      <c r="E53" s="0" t="n">
        <f aca="false">((E19+E24)*INDEX(consultas_pro_mes,1,$B$2)+(E14+E34)*INDEX(consultas_ent_mes,1,$B$2))*meses_anio*(1-INDEX(tasa_reuso,1,$B$2))*INDEX(costo_analisis,1,$B$2)*sens_costo_analisis</f>
        <v>33529.8048</v>
      </c>
      <c r="F53" s="0" t="n">
        <f aca="false">((F19+F24)*INDEX(consultas_pro_mes,1,$B$2)+(F14+F34)*INDEX(consultas_ent_mes,1,$B$2))*meses_anio*(1-INDEX(tasa_reuso,1,$B$2))*INDEX(costo_analisis,1,$B$2)*sens_costo_analisis</f>
        <v>83095.6032</v>
      </c>
      <c r="G53" s="0" t="n">
        <f aca="false">((G19+G24)*INDEX(consultas_pro_mes,1,$B$2)+(G14+G34)*INDEX(consultas_ent_mes,1,$B$2))*meses_anio*(1-INDEX(tasa_reuso,1,$B$2))*INDEX(costo_analisis,1,$B$2)*sens_costo_analisis</f>
        <v>100589.4144</v>
      </c>
    </row>
    <row r="54" customFormat="false" ht="15" hidden="false" customHeight="false" outlineLevel="0" collapsed="false">
      <c r="A54" s="0" t="s">
        <v>295</v>
      </c>
      <c r="B54" s="0" t="n">
        <f aca="false">SUM(B48:B53)</f>
        <v>1729</v>
      </c>
      <c r="C54" s="0" t="n">
        <f aca="false">SUM(C48:C53)</f>
        <v>33958.346</v>
      </c>
      <c r="D54" s="0" t="n">
        <f aca="false">SUM(D48:D53)</f>
        <v>39249.0645</v>
      </c>
      <c r="E54" s="0" t="n">
        <f aca="false">SUM(E48:E53)</f>
        <v>80897.961325</v>
      </c>
      <c r="F54" s="0" t="n">
        <f aca="false">SUM(F48:F53)</f>
        <v>138663.66555125</v>
      </c>
      <c r="G54" s="0" t="n">
        <f aca="false">SUM(G48:G53)</f>
        <v>162607.965068813</v>
      </c>
    </row>
    <row r="56" customFormat="false" ht="15" hidden="false" customHeight="false" outlineLevel="0" collapsed="false">
      <c r="A56" s="1" t="s">
        <v>296</v>
      </c>
    </row>
    <row r="57" customFormat="false" ht="15" hidden="false" customHeight="false" outlineLevel="0" collapsed="false">
      <c r="A57" s="0" t="s">
        <v>297</v>
      </c>
      <c r="B57" s="0" t="n">
        <f aca="false">B45-B54</f>
        <v>-1729</v>
      </c>
      <c r="C57" s="0" t="n">
        <f aca="false">C45-C54</f>
        <v>-33958.346</v>
      </c>
      <c r="D57" s="0" t="n">
        <f aca="false">D45-D54</f>
        <v>-39249.0645</v>
      </c>
      <c r="E57" s="0" t="n">
        <f aca="false">E45-E54</f>
        <v>-45697.961325</v>
      </c>
      <c r="F57" s="0" t="n">
        <f aca="false">F45-F54</f>
        <v>-76263.66555125</v>
      </c>
      <c r="G57" s="0" t="n">
        <f aca="false">G45-G54</f>
        <v>-75807.9650688125</v>
      </c>
    </row>
    <row r="58" customFormat="false" ht="15" hidden="false" customHeight="false" outlineLevel="0" collapsed="false">
      <c r="A58" s="0" t="s">
        <v>298</v>
      </c>
      <c r="B58" s="0" t="n">
        <f aca="false">MIN(0,B57)</f>
        <v>-1729</v>
      </c>
      <c r="C58" s="0" t="n">
        <f aca="false">MIN(0,B58+C57)</f>
        <v>-35687.346</v>
      </c>
      <c r="D58" s="0" t="n">
        <f aca="false">MIN(0,C58+D57)</f>
        <v>-74936.4105</v>
      </c>
      <c r="E58" s="0" t="n">
        <f aca="false">MIN(0,D58+E57)</f>
        <v>-120634.371825</v>
      </c>
      <c r="F58" s="0" t="n">
        <f aca="false">MIN(0,E58+F57)</f>
        <v>-196898.03737625</v>
      </c>
      <c r="G58" s="0" t="n">
        <f aca="false">MIN(0,F58+G57)</f>
        <v>-272706.002445063</v>
      </c>
    </row>
    <row r="59" customFormat="false" ht="15" hidden="false" customHeight="false" outlineLevel="0" collapsed="false">
      <c r="A59" s="0" t="s">
        <v>299</v>
      </c>
      <c r="B59" s="0" t="n">
        <f aca="false">alicuota_ganancias*MAX(0,B57)</f>
        <v>0</v>
      </c>
      <c r="C59" s="0" t="n">
        <f aca="false">alicuota_ganancias*MAX(0,B58+C57)</f>
        <v>0</v>
      </c>
      <c r="D59" s="0" t="n">
        <f aca="false">alicuota_ganancias*MAX(0,C58+D57)</f>
        <v>0</v>
      </c>
      <c r="E59" s="0" t="n">
        <f aca="false">alicuota_ganancias*MAX(0,D58+E57)</f>
        <v>0</v>
      </c>
      <c r="F59" s="0" t="n">
        <f aca="false">alicuota_ganancias*MAX(0,E58+F57)</f>
        <v>0</v>
      </c>
      <c r="G59" s="0" t="n">
        <f aca="false">alicuota_ganancias*MAX(0,F58+G57)</f>
        <v>0</v>
      </c>
    </row>
    <row r="60" customFormat="false" ht="15" hidden="false" customHeight="false" outlineLevel="0" collapsed="false">
      <c r="A60" s="0" t="s">
        <v>300</v>
      </c>
      <c r="B60" s="0" t="n">
        <f aca="false">meses_cobro/meses_anio*B45</f>
        <v>0</v>
      </c>
      <c r="C60" s="0" t="n">
        <f aca="false">meses_cobro/meses_anio*C45</f>
        <v>0</v>
      </c>
      <c r="D60" s="0" t="n">
        <f aca="false">meses_cobro/meses_anio*D45</f>
        <v>0</v>
      </c>
      <c r="E60" s="0" t="n">
        <f aca="false">meses_cobro/meses_anio*E45</f>
        <v>5866.66666666667</v>
      </c>
      <c r="F60" s="0" t="n">
        <f aca="false">meses_cobro/meses_anio*F45</f>
        <v>10400</v>
      </c>
      <c r="G60" s="0" t="n">
        <f aca="false">meses_cobro/meses_anio*G45</f>
        <v>14466.6666666667</v>
      </c>
    </row>
    <row r="61" customFormat="false" ht="15" hidden="false" customHeight="false" outlineLevel="0" collapsed="false">
      <c r="A61" s="0" t="s">
        <v>301</v>
      </c>
      <c r="B61" s="0" t="n">
        <f aca="false">B60</f>
        <v>0</v>
      </c>
      <c r="C61" s="0" t="n">
        <f aca="false">C60-B60</f>
        <v>0</v>
      </c>
      <c r="D61" s="0" t="n">
        <f aca="false">D60-C60</f>
        <v>0</v>
      </c>
      <c r="E61" s="0" t="n">
        <f aca="false">E60-D60</f>
        <v>5866.66666666667</v>
      </c>
      <c r="F61" s="0" t="n">
        <f aca="false">F60-E60</f>
        <v>4533.33333333333</v>
      </c>
      <c r="G61" s="0" t="n">
        <f aca="false">G60-F60</f>
        <v>4066.66666666667</v>
      </c>
    </row>
    <row r="62" customFormat="false" ht="15" hidden="false" customHeight="false" outlineLevel="0" collapsed="false">
      <c r="A62" s="0" t="s">
        <v>302</v>
      </c>
      <c r="G62" s="0" t="n">
        <f aca="false">G60</f>
        <v>14466.6666666667</v>
      </c>
    </row>
    <row r="64" customFormat="false" ht="15" hidden="false" customHeight="false" outlineLevel="0" collapsed="false">
      <c r="A64" s="1" t="s">
        <v>303</v>
      </c>
    </row>
    <row r="65" customFormat="false" ht="15" hidden="false" customHeight="false" outlineLevel="0" collapsed="false">
      <c r="A65" s="0" t="s">
        <v>304</v>
      </c>
      <c r="B65" s="0" t="n">
        <f aca="false">B57-B59-B61+N(B62)</f>
        <v>-1729</v>
      </c>
      <c r="C65" s="0" t="n">
        <f aca="false">C57-C59-C61+N(C62)</f>
        <v>-33958.346</v>
      </c>
      <c r="D65" s="0" t="n">
        <f aca="false">D57-D59-D61+N(D62)</f>
        <v>-39249.0645</v>
      </c>
      <c r="E65" s="0" t="n">
        <f aca="false">E57-E59-E61+N(E62)</f>
        <v>-51564.6279916667</v>
      </c>
      <c r="F65" s="0" t="n">
        <f aca="false">F57-F59-F61+N(F62)</f>
        <v>-80796.9988845833</v>
      </c>
      <c r="G65" s="0" t="n">
        <f aca="false">G57-G59-G61+N(G62)</f>
        <v>-65407.9650688125</v>
      </c>
    </row>
    <row r="66" customFormat="false" ht="15" hidden="false" customHeight="false" outlineLevel="0" collapsed="false">
      <c r="A66" s="0" t="s">
        <v>305</v>
      </c>
      <c r="B66" s="0" t="n">
        <f aca="false">1/(1+tasa_descuento)^B$3</f>
        <v>1</v>
      </c>
      <c r="C66" s="0" t="n">
        <f aca="false">1/(1+tasa_descuento)^C$3</f>
        <v>0.8</v>
      </c>
      <c r="D66" s="0" t="n">
        <f aca="false">1/(1+tasa_descuento)^D$3</f>
        <v>0.64</v>
      </c>
      <c r="E66" s="0" t="n">
        <f aca="false">1/(1+tasa_descuento)^E$3</f>
        <v>0.512</v>
      </c>
      <c r="F66" s="0" t="n">
        <f aca="false">1/(1+tasa_descuento)^F$3</f>
        <v>0.4096</v>
      </c>
      <c r="G66" s="0" t="n">
        <f aca="false">1/(1+tasa_descuento)^G$3</f>
        <v>0.32768</v>
      </c>
    </row>
    <row r="67" customFormat="false" ht="15" hidden="false" customHeight="false" outlineLevel="0" collapsed="false">
      <c r="A67" s="0" t="s">
        <v>306</v>
      </c>
      <c r="B67" s="0" t="n">
        <f aca="false">B65*B66</f>
        <v>-1729</v>
      </c>
      <c r="C67" s="0" t="n">
        <f aca="false">C65*C66</f>
        <v>-27166.6768</v>
      </c>
      <c r="D67" s="0" t="n">
        <f aca="false">D65*D66</f>
        <v>-25119.40128</v>
      </c>
      <c r="E67" s="0" t="n">
        <f aca="false">E65*E66</f>
        <v>-26401.0895317333</v>
      </c>
      <c r="F67" s="0" t="n">
        <f aca="false">F65*F66</f>
        <v>-33094.4507431253</v>
      </c>
      <c r="G67" s="0" t="n">
        <f aca="false">G65*G66</f>
        <v>-21432.8819937485</v>
      </c>
    </row>
    <row r="68" customFormat="false" ht="15" hidden="false" customHeight="false" outlineLevel="0" collapsed="false">
      <c r="A68" s="0" t="s">
        <v>307</v>
      </c>
      <c r="B68" s="0" t="n">
        <f aca="false">B65</f>
        <v>-1729</v>
      </c>
      <c r="C68" s="0" t="n">
        <f aca="false">B68+C65</f>
        <v>-35687.346</v>
      </c>
      <c r="D68" s="0" t="n">
        <f aca="false">C68+D65</f>
        <v>-74936.4105</v>
      </c>
      <c r="E68" s="0" t="n">
        <f aca="false">D68+E65</f>
        <v>-126501.038491667</v>
      </c>
      <c r="F68" s="0" t="n">
        <f aca="false">E68+F65</f>
        <v>-207298.03737625</v>
      </c>
      <c r="G68" s="0" t="n">
        <f aca="false">F68+G65</f>
        <v>-272706.002445063</v>
      </c>
    </row>
    <row r="69" customFormat="false" ht="15" hidden="false" customHeight="false" outlineLevel="0" collapsed="false">
      <c r="A69" s="0" t="s">
        <v>308</v>
      </c>
      <c r="B69" s="0" t="n">
        <f aca="false">B67</f>
        <v>-1729</v>
      </c>
      <c r="C69" s="0" t="n">
        <f aca="false">B69+C67</f>
        <v>-28895.6768</v>
      </c>
      <c r="D69" s="0" t="n">
        <f aca="false">C69+D67</f>
        <v>-54015.07808</v>
      </c>
      <c r="E69" s="0" t="n">
        <f aca="false">D69+E67</f>
        <v>-80416.1676117333</v>
      </c>
      <c r="F69" s="0" t="n">
        <f aca="false">E69+F67</f>
        <v>-113510.618354859</v>
      </c>
      <c r="G69" s="0" t="n">
        <f aca="false">F69+G67</f>
        <v>-134943.500348607</v>
      </c>
    </row>
    <row r="70" customFormat="false" ht="15" hidden="false" customHeight="false" outlineLevel="0" collapsed="false">
      <c r="A70" s="0" t="s">
        <v>309</v>
      </c>
      <c r="C70" s="0" t="str">
        <f aca="false">IF(AND(B68&lt;0,C68&gt;=0),C$3-1+(-B68)/C65,"")</f>
        <v/>
      </c>
      <c r="D70" s="0" t="str">
        <f aca="false">IF(AND(C68&lt;0,D68&gt;=0),D$3-1+(-C68)/D65,"")</f>
        <v/>
      </c>
      <c r="E70" s="0" t="str">
        <f aca="false">IF(AND(D68&lt;0,E68&gt;=0),E$3-1+(-D68)/E65,"")</f>
        <v/>
      </c>
      <c r="F70" s="0" t="str">
        <f aca="false">IF(AND(E68&lt;0,F68&gt;=0),F$3-1+(-E68)/F65,"")</f>
        <v/>
      </c>
      <c r="G70" s="0" t="str">
        <f aca="false">IF(AND(F68&lt;0,G68&gt;=0),G$3-1+(-F68)/G65,"")</f>
        <v/>
      </c>
    </row>
    <row r="71" customFormat="false" ht="15" hidden="false" customHeight="false" outlineLevel="0" collapsed="false">
      <c r="A71" s="0" t="s">
        <v>310</v>
      </c>
      <c r="C71" s="0" t="str">
        <f aca="false">IF(AND(B69&lt;0,C69&gt;=0),C$3-1+(-B69)/C67,"")</f>
        <v/>
      </c>
      <c r="D71" s="0" t="str">
        <f aca="false">IF(AND(C69&lt;0,D69&gt;=0),D$3-1+(-C69)/D67,"")</f>
        <v/>
      </c>
      <c r="E71" s="0" t="str">
        <f aca="false">IF(AND(D69&lt;0,E69&gt;=0),E$3-1+(-D69)/E67,"")</f>
        <v/>
      </c>
      <c r="F71" s="0" t="str">
        <f aca="false">IF(AND(E69&lt;0,F69&gt;=0),F$3-1+(-E69)/F67,"")</f>
        <v/>
      </c>
      <c r="G71" s="0" t="str">
        <f aca="false">IF(AND(F69&lt;0,G69&gt;=0),G$3-1+(-F69)/G67,"")</f>
        <v/>
      </c>
    </row>
    <row r="73" customFormat="false" ht="15" hidden="false" customHeight="false" outlineLevel="0" collapsed="false">
      <c r="A73" s="1" t="s">
        <v>311</v>
      </c>
    </row>
    <row r="74" customFormat="false" ht="15" hidden="false" customHeight="false" outlineLevel="0" collapsed="false">
      <c r="A74" s="0" t="s">
        <v>232</v>
      </c>
      <c r="B74" s="0" t="n">
        <f aca="false">SUM(B67:G67)</f>
        <v>-134943.500348607</v>
      </c>
    </row>
    <row r="75" customFormat="false" ht="15" hidden="false" customHeight="false" outlineLevel="0" collapsed="false">
      <c r="A75" s="0" t="s">
        <v>233</v>
      </c>
      <c r="B75" s="2" t="str">
        <f aca="false">IFERROR(IRR(B65:G65),"no definida")</f>
        <v>no definida</v>
      </c>
    </row>
    <row r="76" customFormat="false" ht="15" hidden="false" customHeight="false" outlineLevel="0" collapsed="false">
      <c r="A76" s="0" t="s">
        <v>234</v>
      </c>
      <c r="B76" s="0" t="str">
        <f aca="false">IF(COUNT(C70:G70)=0,"no se recupera",MIN(C70:G70))</f>
        <v>no se recupera</v>
      </c>
    </row>
    <row r="77" customFormat="false" ht="15" hidden="false" customHeight="false" outlineLevel="0" collapsed="false">
      <c r="A77" s="0" t="s">
        <v>235</v>
      </c>
      <c r="B77" s="0" t="str">
        <f aca="false">IF(COUNT(C71:G71)=0,"no se recupera",MIN(C71:G71))</f>
        <v>no se recupera</v>
      </c>
    </row>
    <row r="78" customFormat="false" ht="15" hidden="false" customHeight="false" outlineLevel="0" collapsed="false">
      <c r="A78" s="0" t="s">
        <v>238</v>
      </c>
      <c r="B78" s="0" t="n">
        <f aca="false">SUM(B67:G67)+MAX(0,G65-G62)*(1+crecimiento_perpetuo)/(tasa_descuento-crecimiento_perpetuo)/(1+tasa_descuento)^5</f>
        <v>-134943.500348607</v>
      </c>
    </row>
    <row r="79" customFormat="false" ht="15" hidden="false" customHeight="false" outlineLevel="0" collapsed="false">
      <c r="A79" s="0" t="s">
        <v>237</v>
      </c>
      <c r="B79" s="0" t="n">
        <f aca="false">IFERROR(G45/G36,"no definido")</f>
        <v>5600</v>
      </c>
    </row>
    <row r="80" customFormat="false" ht="15" hidden="false" customHeight="false" outlineLevel="0" collapsed="false">
      <c r="A80" s="0" t="s">
        <v>236</v>
      </c>
      <c r="B80" s="0" t="n">
        <f aca="false">IFERROR(ROUNDUP(G54/B79,0),"no definido")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2026-10-20T15:05:09Z</dcterms:created>
  <dc:creator>openpyxl</dc:creator>
  <dc:description/>
  <dc:language>es-ES</dc:language>
  <cp:lastModifiedBy/>
  <dcterms:modified xsi:type="dcterms:W3CDTF">2026-10-20T15:05:09Z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