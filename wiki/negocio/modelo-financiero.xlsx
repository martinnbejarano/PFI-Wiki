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puestos" sheetId="1" state="visible" r:id="rId3"/>
    <sheet name="Resumen" sheetId="2" state="visible" r:id="rId4"/>
    <sheet name="Optimista" sheetId="3" state="visible" r:id="rId5"/>
    <sheet name="Neutral" sheetId="4" state="visible" r:id="rId6"/>
    <sheet name="Pesimista" sheetId="5" state="visible" r:id="rId7"/>
  </sheets>
  <definedNames>
    <definedName function="false" hidden="false" name="ajuste_sueldo" vbProcedure="false">Supuestos!$D$28</definedName>
    <definedName function="false" hidden="false" name="alicuota_ganancias" vbProcedure="false">Supuestos!$D$33</definedName>
    <definedName function="false" hidden="false" name="analisis_por_ua_mes" vbProcedure="false">Supuestos!$E$67:$G$67</definedName>
    <definedName function="false" hidden="false" name="anio_0" vbProcedure="false">Supuestos!$D$6</definedName>
    <definedName function="false" hidden="false" name="anio_electoral" vbProcedure="false">Supuestos!$D$8:$D$13</definedName>
    <definedName function="false" hidden="false" name="busquedas" vbProcedure="false">Supuestos!$E$60:$G$60</definedName>
    <definedName function="false" hidden="false" name="capt_agencias" vbProcedure="false">Supuestos!$E$96:$G$96</definedName>
    <definedName function="false" hidden="false" name="capt_medios_chicos" vbProcedure="false">Supuestos!$E$92:$G$92</definedName>
    <definedName function="false" hidden="false" name="capt_medios_grandes" vbProcedure="false">Supuestos!$E$91:$G$91</definedName>
    <definedName function="false" hidden="false" name="capt_organismos" vbProcedure="false">Supuestos!$E$95:$G$95</definedName>
    <definedName function="false" hidden="false" name="capt_universidades" vbProcedure="false">Supuestos!$E$94:$G$94</definedName>
    <definedName function="false" hidden="false" name="capt_verificadores" vbProcedure="false">Supuestos!$E$93:$G$93</definedName>
    <definedName function="false" hidden="false" name="cargas_sociales" vbProcedure="false">Supuestos!$D$29</definedName>
    <definedName function="false" hidden="false" name="churn_agencias" vbProcedure="false">Supuestos!$E$101:$G$101</definedName>
    <definedName function="false" hidden="false" name="churn_medios_chicos" vbProcedure="false">Supuestos!$E$98:$G$98</definedName>
    <definedName function="false" hidden="false" name="churn_medios_grandes" vbProcedure="false">Supuestos!$E$97:$G$97</definedName>
    <definedName function="false" hidden="false" name="churn_universidades" vbProcedure="false">Supuestos!$E$100:$G$100</definedName>
    <definedName function="false" hidden="false" name="churn_verificadores" vbProcedure="false">Supuestos!$E$99:$G$99</definedName>
    <definedName function="false" hidden="false" name="consultas_ent_mes" vbProcedure="false">Supuestos!$E$71:$G$71</definedName>
    <definedName function="false" hidden="false" name="consultas_pro_mes" vbProcedure="false">Supuestos!$E$70:$G$70</definedName>
    <definedName function="false" hidden="false" name="costo_analisis" vbProcedure="false">Supuestos!$E$61:$G$61</definedName>
    <definedName function="false" hidden="false" name="crecimiento_perpetuo" vbProcedure="false">Supuestos!$D$21</definedName>
    <definedName function="false" hidden="false" name="crp_argentina" vbProcedure="false">Supuestos!$D$19</definedName>
    <definedName function="false" hidden="false" name="cuota_intermedia" vbProcedure="false">Supuestos!$D$72</definedName>
    <definedName function="false" hidden="false" name="cuota_superior" vbProcedure="false">Supuestos!$D$73</definedName>
    <definedName function="false" hidden="false" name="dominio_anual" vbProcedure="false">Supuestos!$D$46</definedName>
    <definedName function="false" hidden="false" name="erp_maduro" vbProcedure="false">Supuestos!$D$18</definedName>
    <definedName function="false" hidden="false" name="horizonte" vbProcedure="false">Supuestos!$D$5</definedName>
    <definedName function="false" hidden="false" name="infra_base" vbProcedure="false">Supuestos!$D$43</definedName>
    <definedName function="false" hidden="false" name="infra_escalado" vbProcedure="false">Supuestos!$D$44</definedName>
    <definedName function="false" hidden="false" name="inv_dominio" vbProcedure="false">Supuestos!$D$38</definedName>
    <definedName function="false" hidden="false" name="inv_infraestructura_0" vbProcedure="false">Supuestos!$D$37</definedName>
    <definedName function="false" hidden="false" name="inv_legal" vbProcedure="false">Supuestos!$D$40</definedName>
    <definedName function="false" hidden="false" name="inv_marca_inpi" vbProcedure="false">Supuestos!$D$39</definedName>
    <definedName function="false" hidden="false" name="marketing" vbProcedure="false">Supuestos!$E$47:$G$51</definedName>
    <definedName function="false" hidden="false" name="meses_anio" vbProcedure="false">Supuestos!$D$7</definedName>
    <definedName function="false" hidden="false" name="meses_anio_0" vbProcedure="false">Supuestos!$D$30</definedName>
    <definedName function="false" hidden="false" name="meses_cobro" vbProcedure="false">Supuestos!$D$34</definedName>
    <definedName function="false" hidden="false" name="precio_agencias" vbProcedure="false">Supuestos!$E$89:$G$89</definedName>
    <definedName function="false" hidden="false" name="precio_busqueda" vbProcedure="false">Supuestos!$D$56</definedName>
    <definedName function="false" hidden="false" name="precio_entrada" vbProcedure="false">Supuestos!$D$54</definedName>
    <definedName function="false" hidden="false" name="precio_excedente" vbProcedure="false">Supuestos!$D$74</definedName>
    <definedName function="false" hidden="false" name="precio_medios_chicos" vbProcedure="false">Supuestos!$D$85</definedName>
    <definedName function="false" hidden="false" name="precio_medios_grandes" vbProcedure="false">Supuestos!$E$84:$G$84</definedName>
    <definedName function="false" hidden="false" name="precio_organismos" vbProcedure="false">Supuestos!$E$88:$G$88</definedName>
    <definedName function="false" hidden="false" name="precio_salida" vbProcedure="false">Supuestos!$D$55</definedName>
    <definedName function="false" hidden="false" name="precio_universidades" vbProcedure="false">Supuestos!$D$87</definedName>
    <definedName function="false" hidden="false" name="precio_verificadores" vbProcedure="false">Supuestos!$D$86</definedName>
    <definedName function="false" hidden="false" name="prima_proyecto" vbProcedure="false">Supuestos!$D$16</definedName>
    <definedName function="false" hidden="false" name="riesgo_pais" vbProcedure="false">Supuestos!$D$15</definedName>
    <definedName function="false" hidden="false" name="sens_captacion" vbProcedure="false">Supuestos!$D$106</definedName>
    <definedName function="false" hidden="false" name="sens_costo_analisis" vbProcedure="false">Supuestos!$D$104</definedName>
    <definedName function="false" hidden="false" name="sens_precios" vbProcedure="false">Supuestos!$D$105</definedName>
    <definedName function="false" hidden="false" name="sueldos_por_anio" vbProcedure="false">Supuestos!$D$27</definedName>
    <definedName function="false" hidden="false" name="sueldo_ars" vbProcedure="false">Supuestos!$D$24</definedName>
    <definedName function="false" hidden="false" name="sueldo_usd" vbProcedure="false">Supuestos!$D$26</definedName>
    <definedName function="false" hidden="false" name="tasa_capm" vbProcedure="false">Supuestos!$D$20</definedName>
    <definedName function="false" hidden="false" name="tasa_descuento" vbProcedure="false">Supuestos!$D$17</definedName>
    <definedName function="false" hidden="false" name="tasa_libre_riesgo" vbProcedure="false">Supuestos!$D$14</definedName>
    <definedName function="false" hidden="false" name="tasa_reuso" vbProcedure="false">Supuestos!$E$69:$G$69</definedName>
    <definedName function="false" hidden="false" name="tc_encuesta" vbProcedure="false">Supuestos!$D$25</definedName>
    <definedName function="false" hidden="false" name="tokens_entrada" vbProcedure="false">Supuestos!$E$58:$G$58</definedName>
    <definedName function="false" hidden="false" name="tokens_por_millon" vbProcedure="false">Supuestos!$D$57</definedName>
    <definedName function="false" hidden="false" name="tokens_salida" vbProcedure="false">Supuestos!$E$59:$G$59</definedName>
    <definedName function="false" hidden="false" name="tope_mensual" vbProcedure="false">Supuestos!$D$68</definedName>
    <definedName function="false" hidden="false" name="ua_escalado" vbProcedure="false">Supuestos!$D$45</definedName>
    <definedName function="false" hidden="false" name="ua_inicio_b2b" vbProcedure="false">Supuestos!$D$90</definedName>
    <definedName function="false" hidden="false" name="usuarios_activos" vbProcedure="false">Supuestos!$E$62:$G$66</definedName>
    <definedName function="false" hidden="false" name="u_agencias" vbProcedure="false">Supuestos!$D$83</definedName>
    <definedName function="false" hidden="false" name="u_medios_chicos" vbProcedure="false">Supuestos!$D$79</definedName>
    <definedName function="false" hidden="false" name="u_medios_grandes" vbProcedure="false">Supuestos!$D$78</definedName>
    <definedName function="false" hidden="false" name="u_medios_total" vbProcedure="false">Supuestos!$D$77</definedName>
    <definedName function="false" hidden="false" name="u_organismos" vbProcedure="false">Supuestos!$D$82</definedName>
    <definedName function="false" hidden="false" name="u_universidades" vbProcedure="false">Supuestos!$D$81</definedName>
    <definedName function="false" hidden="false" name="u_verificadores" vbProcedure="false">Supuestos!$D$80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<sst xmlns="http://schemas.openxmlformats.org/spreadsheetml/2006/main" count="618" uniqueCount="337">
  <si>
    <t xml:space="preserve">clave</t>
  </si>
  <si>
    <t xml:space="preserve">concepto</t>
  </si>
  <si>
    <t xml:space="preserve">unidad</t>
  </si>
  <si>
    <t xml:space="preserve">común</t>
  </si>
  <si>
    <t xml:space="preserve">optimista</t>
  </si>
  <si>
    <t xml:space="preserve">neutral</t>
  </si>
  <si>
    <t xml:space="preserve">pesimista</t>
  </si>
  <si>
    <t xml:space="preserve">fuente</t>
  </si>
  <si>
    <t xml:space="preserve">Fuente de cada supuesto: wiki/negocio/analisis-financiero.md. Clave bibliográfica = documento/biblio.bib.</t>
  </si>
  <si>
    <t xml:space="preserve">Horizonte, calendario y tasa</t>
  </si>
  <si>
    <t xml:space="preserve">horizonte</t>
  </si>
  <si>
    <t xml:space="preserve">Horizonte de evaluación</t>
  </si>
  <si>
    <t xml:space="preserve">años</t>
  </si>
  <si>
    <t xml:space="preserve">Decisión de #45</t>
  </si>
  <si>
    <t xml:space="preserve">anio_0</t>
  </si>
  <si>
    <t xml:space="preserve">Año calendario del año 0</t>
  </si>
  <si>
    <t xml:space="preserve">año</t>
  </si>
  <si>
    <t xml:space="preserve">Supuesto propio</t>
  </si>
  <si>
    <t xml:space="preserve">meses_anio</t>
  </si>
  <si>
    <t xml:space="preserve">Meses por año</t>
  </si>
  <si>
    <t xml:space="preserve">meses</t>
  </si>
  <si>
    <t xml:space="preserve">—</t>
  </si>
  <si>
    <t xml:space="preserve">anio_electoral</t>
  </si>
  <si>
    <t xml:space="preserve">Año 0 con elección nacional (1 = sí)</t>
  </si>
  <si>
    <t xml:space="preserve">0/1</t>
  </si>
  <si>
    <t xml:space="preserve">ConvencionConstituyente1994, LaNacion2026</t>
  </si>
  <si>
    <t xml:space="preserve">Año 1 con elección nacional (1 = sí)</t>
  </si>
  <si>
    <t xml:space="preserve">Año 2 con elección nacional (1 = sí)</t>
  </si>
  <si>
    <t xml:space="preserve">Año 3 con elección nacional (1 = sí)</t>
  </si>
  <si>
    <t xml:space="preserve">Año 4 con elección nacional (1 = sí)</t>
  </si>
  <si>
    <t xml:space="preserve">Año 5 con elección nacional (1 = sí)</t>
  </si>
  <si>
    <t xml:space="preserve">tasa_libre_riesgo</t>
  </si>
  <si>
    <t xml:space="preserve">Bono del Tesoro de EE. UU. a 10 años</t>
  </si>
  <si>
    <t xml:space="preserve">%</t>
  </si>
  <si>
    <t xml:space="preserve">FederalReserve2026</t>
  </si>
  <si>
    <t xml:space="preserve">riesgo_pais</t>
  </si>
  <si>
    <t xml:space="preserve">Riesgo país de Argentina (EMBI, 628 pb)</t>
  </si>
  <si>
    <t xml:space="preserve">Infobae2026</t>
  </si>
  <si>
    <t xml:space="preserve">prima_proyecto</t>
  </si>
  <si>
    <t xml:space="preserve">Prima por proyecto nuevo</t>
  </si>
  <si>
    <t xml:space="preserve">Supuesto propio, Damodaran2010</t>
  </si>
  <si>
    <t xml:space="preserve">tasa_descuento</t>
  </si>
  <si>
    <t xml:space="preserve">Tasa de descuento</t>
  </si>
  <si>
    <t xml:space="preserve">Suma de componentes</t>
  </si>
  <si>
    <t xml:space="preserve">erp_maduro</t>
  </si>
  <si>
    <t xml:space="preserve">Prima de riesgo de un mercado maduro (contraste CAPM)</t>
  </si>
  <si>
    <t xml:space="preserve">Damodaran2026</t>
  </si>
  <si>
    <t xml:space="preserve">crp_argentina</t>
  </si>
  <si>
    <t xml:space="preserve">Prima de riesgo país de Argentina (contraste CAPM)</t>
  </si>
  <si>
    <t xml:space="preserve">tasa_capm</t>
  </si>
  <si>
    <t xml:space="preserve">Tasa CAPM de contraste, con beta igual a 1</t>
  </si>
  <si>
    <t xml:space="preserve">Cálculo</t>
  </si>
  <si>
    <t xml:space="preserve">crecimiento_perpetuo</t>
  </si>
  <si>
    <t xml:space="preserve">Crecimiento a perpetuidad para el valor residual</t>
  </si>
  <si>
    <t xml:space="preserve">Supuesto propio, no mayor al crecimiento de largo plazo</t>
  </si>
  <si>
    <t xml:space="preserve">Recursos humanos</t>
  </si>
  <si>
    <t xml:space="preserve">sueldo_ars</t>
  </si>
  <si>
    <t xml:space="preserve">Sueldo bruto mensual, developer semi senior</t>
  </si>
  <si>
    <t xml:space="preserve">ARS/mes</t>
  </si>
  <si>
    <t xml:space="preserve">Sysarmy2026</t>
  </si>
  <si>
    <t xml:space="preserve">tc_encuesta</t>
  </si>
  <si>
    <t xml:space="preserve">Tipo de cambio implícito de la encuesta</t>
  </si>
  <si>
    <t xml:space="preserve">ARS/USD</t>
  </si>
  <si>
    <t xml:space="preserve">sueldo_usd</t>
  </si>
  <si>
    <t xml:space="preserve">Sueldo bruto mensual en USD</t>
  </si>
  <si>
    <t xml:space="preserve">USD/mes</t>
  </si>
  <si>
    <t xml:space="preserve">sueldos_por_anio</t>
  </si>
  <si>
    <t xml:space="preserve">Sueldos por año (12 + aguinaldo)</t>
  </si>
  <si>
    <t xml:space="preserve">sueldos</t>
  </si>
  <si>
    <t xml:space="preserve">ajuste_sueldo</t>
  </si>
  <si>
    <t xml:space="preserve">Ajuste anual del sueldo en USD</t>
  </si>
  <si>
    <t xml:space="preserve">cargas_sociales</t>
  </si>
  <si>
    <t xml:space="preserve">Cargas sociales del empleador (18 % + obra social 6 % + ART 2 %)</t>
  </si>
  <si>
    <t xml:space="preserve">CongresoNacion2019; ART: supuesto propio</t>
  </si>
  <si>
    <t xml:space="preserve">meses_anio_0</t>
  </si>
  <si>
    <t xml:space="preserve">Meses de desarrollo del trabajo en el año 0 (no se imputan al flujo)</t>
  </si>
  <si>
    <t xml:space="preserve">Cronograma del PFI</t>
  </si>
  <si>
    <t xml:space="preserve">Impuestos y capital de trabajo</t>
  </si>
  <si>
    <t xml:space="preserve">alicuota_ganancias</t>
  </si>
  <si>
    <t xml:space="preserve">Impuesto a las ganancias, con quebrantos trasladables</t>
  </si>
  <si>
    <t xml:space="preserve">Simplificación indicada por la cátedra</t>
  </si>
  <si>
    <t xml:space="preserve">meses_cobro</t>
  </si>
  <si>
    <t xml:space="preserve">Plazo de cobro de los clientes B2B y B2G</t>
  </si>
  <si>
    <t xml:space="preserve">Inversión del año 0 (además del desarrollo)</t>
  </si>
  <si>
    <t xml:space="preserve">inv_infraestructura_0</t>
  </si>
  <si>
    <t xml:space="preserve">Infraestructura durante el PFI: API y clasificador en Railway (13 USD/mes × 12)</t>
  </si>
  <si>
    <t xml:space="preserve">USD</t>
  </si>
  <si>
    <t xml:space="preserve">Cap. 4, RNF-14; RailwayPrecios2026</t>
  </si>
  <si>
    <t xml:space="preserve">inv_dominio</t>
  </si>
  <si>
    <t xml:space="preserve">Dominio .com.ar, primer año (ARS 8.500)</t>
  </si>
  <si>
    <t xml:space="preserve">NICArgentina2026</t>
  </si>
  <si>
    <t xml:space="preserve">inv_marca_inpi</t>
  </si>
  <si>
    <t xml:space="preserve">Solicitud de marca en el INPI, clases 9 y 42 (200 UMAPI)</t>
  </si>
  <si>
    <t xml:space="preserve">INPI2026, INPIUmapi2026</t>
  </si>
  <si>
    <t xml:space="preserve">inv_legal</t>
  </si>
  <si>
    <t xml:space="preserve">Asesoría legal</t>
  </si>
  <si>
    <t xml:space="preserve">Infraestructura y hosting (años 1 a 5)</t>
  </si>
  <si>
    <t xml:space="preserve">infra_base</t>
  </si>
  <si>
    <t xml:space="preserve">Base comercial: Railway Pro, con 20 USD de uso incluidos (API y clasificador, 13 USD/mes)</t>
  </si>
  <si>
    <t xml:space="preserve">Railway2026</t>
  </si>
  <si>
    <t xml:space="preserve">infra_escalado</t>
  </si>
  <si>
    <t xml:space="preserve">Uso adicional por cada bloque de usuarios activos (1 GB de memoria)</t>
  </si>
  <si>
    <t xml:space="preserve">Supuesto propio; tarifa RailwayPrecios2026</t>
  </si>
  <si>
    <t xml:space="preserve">ua_escalado</t>
  </si>
  <si>
    <t xml:space="preserve">Usuarios activos por bloque de escalado</t>
  </si>
  <si>
    <t xml:space="preserve">UA</t>
  </si>
  <si>
    <t xml:space="preserve">dominio_anual</t>
  </si>
  <si>
    <t xml:space="preserve">Renovación del dominio .com.ar (ARS 8.500)</t>
  </si>
  <si>
    <t xml:space="preserve">USD/año</t>
  </si>
  <si>
    <t xml:space="preserve">marketing</t>
  </si>
  <si>
    <t xml:space="preserve">Marketing, año 1</t>
  </si>
  <si>
    <t xml:space="preserve">Marketing, año 2</t>
  </si>
  <si>
    <t xml:space="preserve">Marketing, año 3</t>
  </si>
  <si>
    <t xml:space="preserve">Marketing, año 4</t>
  </si>
  <si>
    <t xml:space="preserve">Marketing, año 5</t>
  </si>
  <si>
    <t xml:space="preserve">Costo variable por análisis</t>
  </si>
  <si>
    <t xml:space="preserve">precio_entrada</t>
  </si>
  <si>
    <t xml:space="preserve">gpt-5.6-luna, entrada</t>
  </si>
  <si>
    <t xml:space="preserve">USD/1 M tokens</t>
  </si>
  <si>
    <t xml:space="preserve">OpenAI2026</t>
  </si>
  <si>
    <t xml:space="preserve">precio_salida</t>
  </si>
  <si>
    <t xml:space="preserve">gpt-5.6-luna, salida</t>
  </si>
  <si>
    <t xml:space="preserve">precio_busqueda</t>
  </si>
  <si>
    <t xml:space="preserve">Herramienta web_search</t>
  </si>
  <si>
    <t xml:space="preserve">USD/llamada</t>
  </si>
  <si>
    <t xml:space="preserve">tokens_por_millon</t>
  </si>
  <si>
    <t xml:space="preserve">Tokens por millón</t>
  </si>
  <si>
    <t xml:space="preserve">tokens</t>
  </si>
  <si>
    <t xml:space="preserve">tokens_entrada</t>
  </si>
  <si>
    <t xml:space="preserve">Tokens de entrada por análisis</t>
  </si>
  <si>
    <t xml:space="preserve">Supuesto propio; contraste: Cap. 4, RNF-14</t>
  </si>
  <si>
    <t xml:space="preserve">tokens_salida</t>
  </si>
  <si>
    <t xml:space="preserve">Tokens de salida por análisis</t>
  </si>
  <si>
    <t xml:space="preserve">busquedas</t>
  </si>
  <si>
    <t xml:space="preserve">Llamadas a web_search por análisis</t>
  </si>
  <si>
    <t xml:space="preserve">llamadas</t>
  </si>
  <si>
    <t xml:space="preserve">costo_analisis</t>
  </si>
  <si>
    <t xml:space="preserve">Costo por análisis</t>
  </si>
  <si>
    <t xml:space="preserve">usuarios_activos</t>
  </si>
  <si>
    <t xml:space="preserve">Usuarios activos mensuales, año 1</t>
  </si>
  <si>
    <t xml:space="preserve">Usuarios activos mensuales, año 2</t>
  </si>
  <si>
    <t xml:space="preserve">Usuarios activos mensuales, año 3</t>
  </si>
  <si>
    <t xml:space="preserve">Usuarios activos mensuales, año 4</t>
  </si>
  <si>
    <t xml:space="preserve">Usuarios activos mensuales, año 5</t>
  </si>
  <si>
    <t xml:space="preserve">analisis_por_ua_mes</t>
  </si>
  <si>
    <t xml:space="preserve">Análisis por usuario activo por mes</t>
  </si>
  <si>
    <t xml:space="preserve">análisis</t>
  </si>
  <si>
    <t xml:space="preserve">tope_mensual</t>
  </si>
  <si>
    <t xml:space="preserve">Tope de análisis a demanda nuevos por instalación por mes</t>
  </si>
  <si>
    <t xml:space="preserve">Decisión de producto (RF-17)</t>
  </si>
  <si>
    <t xml:space="preserve">tasa_reuso</t>
  </si>
  <si>
    <t xml:space="preserve">Análisis servidos desde la caché (las publicaciones virales concentran la demanda)</t>
  </si>
  <si>
    <t xml:space="preserve">consultas_pro_mes</t>
  </si>
  <si>
    <t xml:space="preserve">Demanda de consultas por cliente de la API intermedia por mes (se costea hasta la cuota)</t>
  </si>
  <si>
    <t xml:space="preserve">consultas</t>
  </si>
  <si>
    <t xml:space="preserve">consultas_ent_mes</t>
  </si>
  <si>
    <t xml:space="preserve">Demanda de consultas por cliente de la API superior por mes (se costea hasta la cuota)</t>
  </si>
  <si>
    <t xml:space="preserve">cuota_intermedia</t>
  </si>
  <si>
    <t xml:space="preserve">Cuota mensual incluida en la API intermedia</t>
  </si>
  <si>
    <t xml:space="preserve">Cap. 3, tab:pricing</t>
  </si>
  <si>
    <t xml:space="preserve">cuota_superior</t>
  </si>
  <si>
    <t xml:space="preserve">Cuota mensual incluida en la API superior</t>
  </si>
  <si>
    <t xml:space="preserve">precio_excedente</t>
  </si>
  <si>
    <t xml:space="preserve">Precio por consulta excedente sobre la cuota (no se modela)</t>
  </si>
  <si>
    <t xml:space="preserve">USD/consulta</t>
  </si>
  <si>
    <t xml:space="preserve">Clientes B2B</t>
  </si>
  <si>
    <t xml:space="preserve">u_medios_total</t>
  </si>
  <si>
    <t xml:space="preserve">Universo: socios activos de ADEPA, con y sin sitio web</t>
  </si>
  <si>
    <t xml:space="preserve">organizaciones</t>
  </si>
  <si>
    <t xml:space="preserve">ADEPA2026</t>
  </si>
  <si>
    <t xml:space="preserve">u_medios_grandes</t>
  </si>
  <si>
    <t xml:space="preserve">Universo: medios de gran porte</t>
  </si>
  <si>
    <t xml:space="preserve">ADEPA2026 (corte propio)</t>
  </si>
  <si>
    <t xml:space="preserve">u_medios_chicos</t>
  </si>
  <si>
    <t xml:space="preserve">Universo: resto de medios de ADEPA con sitio web</t>
  </si>
  <si>
    <t xml:space="preserve">u_verificadores</t>
  </si>
  <si>
    <t xml:space="preserve">Universo: verificadores</t>
  </si>
  <si>
    <t xml:space="preserve">LatamChequea2026</t>
  </si>
  <si>
    <t xml:space="preserve">u_universidades</t>
  </si>
  <si>
    <t xml:space="preserve">Universo: universidades</t>
  </si>
  <si>
    <t xml:space="preserve">SubsecretariaPoliticasUniversitarias2026</t>
  </si>
  <si>
    <t xml:space="preserve">u_organismos</t>
  </si>
  <si>
    <t xml:space="preserve">Universo: organismos electorales y ONG</t>
  </si>
  <si>
    <t xml:space="preserve">MinisterioInterior2026</t>
  </si>
  <si>
    <t xml:space="preserve">u_agencias</t>
  </si>
  <si>
    <t xml:space="preserve">Universo: agencias</t>
  </si>
  <si>
    <t xml:space="preserve">AgenciasArgentinas2026</t>
  </si>
  <si>
    <t xml:space="preserve">precio_medios_grandes</t>
  </si>
  <si>
    <t xml:space="preserve">Precio: API nivel superior, medios de gran porte</t>
  </si>
  <si>
    <t xml:space="preserve">precio_medios_chicos</t>
  </si>
  <si>
    <t xml:space="preserve">Precio: API nivel intermedio</t>
  </si>
  <si>
    <t xml:space="preserve">precio_verificadores</t>
  </si>
  <si>
    <t xml:space="preserve">Precio: panel de tendencias + API intermedia</t>
  </si>
  <si>
    <t xml:space="preserve">precio_universidades</t>
  </si>
  <si>
    <t xml:space="preserve">Precio: acceso histórico</t>
  </si>
  <si>
    <t xml:space="preserve">precio_organismos</t>
  </si>
  <si>
    <t xml:space="preserve">Precio: reporte de monitoreo electoral</t>
  </si>
  <si>
    <t xml:space="preserve">USD/contrato</t>
  </si>
  <si>
    <t xml:space="preserve">precio_agencias</t>
  </si>
  <si>
    <t xml:space="preserve">Precio: API nivel superior, agencias</t>
  </si>
  <si>
    <t xml:space="preserve">ua_inicio_b2b</t>
  </si>
  <si>
    <t xml:space="preserve">Usuarios activos mensuales desde los que empiezan las ventas B2B</t>
  </si>
  <si>
    <t xml:space="preserve">capt_medios_grandes</t>
  </si>
  <si>
    <t xml:space="preserve">Captación anual: medios de gran porte</t>
  </si>
  <si>
    <t xml:space="preserve">capt_medios_chicos</t>
  </si>
  <si>
    <t xml:space="preserve">Captación anual: resto de medios de ADEPA</t>
  </si>
  <si>
    <t xml:space="preserve">capt_verificadores</t>
  </si>
  <si>
    <t xml:space="preserve">Captación anual: verificadores</t>
  </si>
  <si>
    <t xml:space="preserve">capt_universidades</t>
  </si>
  <si>
    <t xml:space="preserve">Captación anual: universidades</t>
  </si>
  <si>
    <t xml:space="preserve">capt_organismos</t>
  </si>
  <si>
    <t xml:space="preserve">Fracción de organismos que contrata en año electoral</t>
  </si>
  <si>
    <t xml:space="preserve">capt_agencias</t>
  </si>
  <si>
    <t xml:space="preserve">Captación anual: agencias</t>
  </si>
  <si>
    <t xml:space="preserve">churn_medios_grandes</t>
  </si>
  <si>
    <t xml:space="preserve">Churn anual: medios de gran porte</t>
  </si>
  <si>
    <t xml:space="preserve">churn_medios_chicos</t>
  </si>
  <si>
    <t xml:space="preserve">Churn anual: resto de medios de ADEPA</t>
  </si>
  <si>
    <t xml:space="preserve">churn_verificadores</t>
  </si>
  <si>
    <t xml:space="preserve">Churn anual: verificadores</t>
  </si>
  <si>
    <t xml:space="preserve">churn_universidades</t>
  </si>
  <si>
    <t xml:space="preserve">Churn anual: universidades</t>
  </si>
  <si>
    <t xml:space="preserve">churn_agencias</t>
  </si>
  <si>
    <t xml:space="preserve">Churn anual: agencias</t>
  </si>
  <si>
    <t xml:space="preserve">Sensibilidad (1 = caso base; los cambia scripts/sensibilidad_modelo_financiero.py)</t>
  </si>
  <si>
    <t xml:space="preserve">sens_costo_analisis</t>
  </si>
  <si>
    <t xml:space="preserve">Multiplicador del costo por análisis</t>
  </si>
  <si>
    <t xml:space="preserve">veces</t>
  </si>
  <si>
    <t xml:space="preserve">sens_precios</t>
  </si>
  <si>
    <t xml:space="preserve">Multiplicador de los precios B2B</t>
  </si>
  <si>
    <t xml:space="preserve">sens_captacion</t>
  </si>
  <si>
    <t xml:space="preserve">Multiplicador de las tasas de captación</t>
  </si>
  <si>
    <t xml:space="preserve">Indicador</t>
  </si>
  <si>
    <t xml:space="preserve">Optimista</t>
  </si>
  <si>
    <t xml:space="preserve">Neutral</t>
  </si>
  <si>
    <t xml:space="preserve">Pesimista</t>
  </si>
  <si>
    <t xml:space="preserve">VAN (USD)</t>
  </si>
  <si>
    <t xml:space="preserve">TIR</t>
  </si>
  <si>
    <t xml:space="preserve">Payback simple (años)</t>
  </si>
  <si>
    <t xml:space="preserve">Payback descontado (años)</t>
  </si>
  <si>
    <t xml:space="preserve">Punto de equilibrio (clientes B2B)</t>
  </si>
  <si>
    <t xml:space="preserve">Ingreso medio por cliente B2B en el año 5 (USD)</t>
  </si>
  <si>
    <t xml:space="preserve">VAN con valor residual (USD)</t>
  </si>
  <si>
    <t xml:space="preserve">Mercado, a precios del escenario neutral (USD por año)</t>
  </si>
  <si>
    <t xml:space="preserve">TAM: todo el universo de organizaciones contrata</t>
  </si>
  <si>
    <t xml:space="preserve">SAM: organizaciones que el producto y el canal atienden</t>
  </si>
  <si>
    <t xml:space="preserve">SOM: ingresos del año 5, escenario neutral</t>
  </si>
  <si>
    <t xml:space="preserve">Contraste para la defensa</t>
  </si>
  <si>
    <t xml:space="preserve">Valor de mercado de las horas de desarrollo del año 0, no imputado (USD)</t>
  </si>
  <si>
    <t xml:space="preserve">Tasa CAPM de contraste</t>
  </si>
  <si>
    <t xml:space="preserve">Margen mensual por cliente a cuota llena (USD)</t>
  </si>
  <si>
    <t xml:space="preserve">API intermedia: costo variable a cuota llena</t>
  </si>
  <si>
    <t xml:space="preserve">API intermedia: margen a cuota llena</t>
  </si>
  <si>
    <t xml:space="preserve">API superior: costo variable a cuota llena</t>
  </si>
  <si>
    <t xml:space="preserve">API superior: margen a cuota llena</t>
  </si>
  <si>
    <t xml:space="preserve">Economía unitaria, escenario neutral (USD)</t>
  </si>
  <si>
    <t xml:space="preserve">Precio mensual</t>
  </si>
  <si>
    <t xml:space="preserve">Costo variable mensual</t>
  </si>
  <si>
    <t xml:space="preserve">Margen mensual</t>
  </si>
  <si>
    <t xml:space="preserve">Churn anual</t>
  </si>
  <si>
    <t xml:space="preserve">LTV</t>
  </si>
  <si>
    <t xml:space="preserve">LTV/CAC</t>
  </si>
  <si>
    <t xml:space="preserve">Payback del CAC (meses)</t>
  </si>
  <si>
    <t xml:space="preserve">CAC (USD por alta de suscripción)</t>
  </si>
  <si>
    <t xml:space="preserve">Unitaria: Medios de gran porte</t>
  </si>
  <si>
    <t xml:space="preserve">Unitaria: Medios socios de ADEPA (resto)</t>
  </si>
  <si>
    <t xml:space="preserve">Unitaria: Verificadores</t>
  </si>
  <si>
    <t xml:space="preserve">Unitaria: Universidades y observatorios</t>
  </si>
  <si>
    <t xml:space="preserve">Unitaria: Agencias</t>
  </si>
  <si>
    <t xml:space="preserve">Escenario optimista (USD nominales; todo lo derivado es fórmula)</t>
  </si>
  <si>
    <t xml:space="preserve">Columna de escenario en Supuestos (1 = optimista, 2 = neutral, 3 = pesimista)</t>
  </si>
  <si>
    <t xml:space="preserve">Año</t>
  </si>
  <si>
    <t xml:space="preserve">Año calendario</t>
  </si>
  <si>
    <t xml:space="preserve">Año electoral (1 = sí)</t>
  </si>
  <si>
    <t xml:space="preserve">Usuarios activos mensuales</t>
  </si>
  <si>
    <t xml:space="preserve">Ventas B2B habilitadas (1 = sí)</t>
  </si>
  <si>
    <t xml:space="preserve">Medios de gran porte: activos al inicio</t>
  </si>
  <si>
    <t xml:space="preserve">Medios de gran porte: bajas</t>
  </si>
  <si>
    <t xml:space="preserve">Medios de gran porte: altas</t>
  </si>
  <si>
    <t xml:space="preserve">Medios de gran porte: activos al cierre</t>
  </si>
  <si>
    <t xml:space="preserve">Medios de gran porte: promedio del año</t>
  </si>
  <si>
    <t xml:space="preserve">Medios socios de ADEPA (resto): activos al inicio</t>
  </si>
  <si>
    <t xml:space="preserve">Medios socios de ADEPA (resto): bajas</t>
  </si>
  <si>
    <t xml:space="preserve">Medios socios de ADEPA (resto): altas</t>
  </si>
  <si>
    <t xml:space="preserve">Medios socios de ADEPA (resto): activos al cierre</t>
  </si>
  <si>
    <t xml:space="preserve">Medios socios de ADEPA (resto): promedio del año</t>
  </si>
  <si>
    <t xml:space="preserve">Verificadores: activos al inicio</t>
  </si>
  <si>
    <t xml:space="preserve">Verificadores: bajas</t>
  </si>
  <si>
    <t xml:space="preserve">Verificadores: altas</t>
  </si>
  <si>
    <t xml:space="preserve">Verificadores: activos al cierre</t>
  </si>
  <si>
    <t xml:space="preserve">Verificadores: promedio del año</t>
  </si>
  <si>
    <t xml:space="preserve">Universidades y observatorios: activos al inicio</t>
  </si>
  <si>
    <t xml:space="preserve">Universidades y observatorios: bajas</t>
  </si>
  <si>
    <t xml:space="preserve">Universidades y observatorios: altas</t>
  </si>
  <si>
    <t xml:space="preserve">Universidades y observatorios: activos al cierre</t>
  </si>
  <si>
    <t xml:space="preserve">Universidades y observatorios: promedio del año</t>
  </si>
  <si>
    <t xml:space="preserve">Agencias: activos al inicio</t>
  </si>
  <si>
    <t xml:space="preserve">Agencias: bajas</t>
  </si>
  <si>
    <t xml:space="preserve">Agencias: altas</t>
  </si>
  <si>
    <t xml:space="preserve">Agencias: activos al cierre</t>
  </si>
  <si>
    <t xml:space="preserve">Agencias: promedio del año</t>
  </si>
  <si>
    <t xml:space="preserve">Organismos y ONG: contratos</t>
  </si>
  <si>
    <t xml:space="preserve">Clientes B2B (promedio del año, con contratos)</t>
  </si>
  <si>
    <t xml:space="preserve">Ingresos por producto</t>
  </si>
  <si>
    <t xml:space="preserve">Ingresos: API nivel superior (Medios de gran porte)</t>
  </si>
  <si>
    <t xml:space="preserve">Ingresos: API nivel intermedio (Medios socios de ADEPA (resto))</t>
  </si>
  <si>
    <t xml:space="preserve">Ingresos: panel de tendencias y API intermedia (Verificadores)</t>
  </si>
  <si>
    <t xml:space="preserve">Ingresos: acceso histórico (Universidades y observatorios)</t>
  </si>
  <si>
    <t xml:space="preserve">Ingresos: API nivel superior (Agencias)</t>
  </si>
  <si>
    <t xml:space="preserve">Ingresos: reportes de monitoreo electoral, organismos y ONG</t>
  </si>
  <si>
    <t xml:space="preserve">Ingresos totales</t>
  </si>
  <si>
    <t xml:space="preserve">Costos por rubro</t>
  </si>
  <si>
    <t xml:space="preserve">Costo: recursos humanos (desarrollador semi senior, con cargas sociales)</t>
  </si>
  <si>
    <t xml:space="preserve">Costo: infraestructura</t>
  </si>
  <si>
    <t xml:space="preserve">Costo: marketing</t>
  </si>
  <si>
    <t xml:space="preserve">Costo: dominio, marca y asesoría legal</t>
  </si>
  <si>
    <t xml:space="preserve">Costo variable: análisis de usuarios gratuitos</t>
  </si>
  <si>
    <t xml:space="preserve">Costo variable: consultas de la API B2B</t>
  </si>
  <si>
    <t xml:space="preserve">Costos totales</t>
  </si>
  <si>
    <t xml:space="preserve">Impuesto y capital de trabajo</t>
  </si>
  <si>
    <t xml:space="preserve">Resultado antes de impuestos</t>
  </si>
  <si>
    <t xml:space="preserve">Quebranto acumulado</t>
  </si>
  <si>
    <t xml:space="preserve">Impuesto a las ganancias</t>
  </si>
  <si>
    <t xml:space="preserve">Capital de trabajo</t>
  </si>
  <si>
    <t xml:space="preserve">Capital de trabajo: variación</t>
  </si>
  <si>
    <t xml:space="preserve">Recupero del capital de trabajo</t>
  </si>
  <si>
    <t xml:space="preserve">Flujo de caja</t>
  </si>
  <si>
    <t xml:space="preserve">Flujo neto</t>
  </si>
  <si>
    <t xml:space="preserve">Factor de descuento</t>
  </si>
  <si>
    <t xml:space="preserve">Flujo descontado</t>
  </si>
  <si>
    <t xml:space="preserve">Flujo neto acumulado</t>
  </si>
  <si>
    <t xml:space="preserve">Flujo descontado acumulado</t>
  </si>
  <si>
    <t xml:space="preserve">Recupero simple: a + b/c en el año del cruce</t>
  </si>
  <si>
    <t xml:space="preserve">Recupero descontado: a + b/c en el año del cruce</t>
  </si>
  <si>
    <t xml:space="preserve">Indicadores</t>
  </si>
  <si>
    <t xml:space="preserve">Escenario neutral (USD nominales; todo lo derivado es fórmula)</t>
  </si>
  <si>
    <t xml:space="preserve">Escenario pesimista (USD nominales; todo lo derivado es fórmula)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</si>
</sst>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\ %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62"/>
    <col collapsed="false" customWidth="true" hidden="false" outlineLevel="0" max="8" min="8" style="0" width="4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0" t="s">
        <v>8</v>
      </c>
    </row>
    <row r="4" customFormat="false" ht="15" hidden="false" customHeight="false" outlineLevel="0" collapsed="false">
      <c r="A4" s="1" t="s">
        <v>9</v>
      </c>
    </row>
    <row r="5" customFormat="false" ht="15" hidden="false" customHeight="false" outlineLevel="0" collapsed="false">
      <c r="A5" s="0" t="s">
        <v>10</v>
      </c>
      <c r="B5" s="0" t="s">
        <v>11</v>
      </c>
      <c r="C5" s="0" t="s">
        <v>12</v>
      </c>
      <c r="D5" s="0" t="n">
        <v>5</v>
      </c>
      <c r="H5" s="0" t="s">
        <v>13</v>
      </c>
    </row>
    <row r="6" customFormat="false" ht="15" hidden="false" customHeight="false" outlineLevel="0" collapsed="false">
      <c r="A6" s="0" t="s">
        <v>14</v>
      </c>
      <c r="B6" s="0" t="s">
        <v>15</v>
      </c>
      <c r="C6" s="0" t="s">
        <v>16</v>
      </c>
      <c r="D6" s="0" t="n">
        <v>2026</v>
      </c>
      <c r="H6" s="0" t="s">
        <v>17</v>
      </c>
    </row>
    <row r="7" customFormat="false" ht="15" hidden="false" customHeight="false" outlineLevel="0" collapsed="false">
      <c r="A7" s="0" t="s">
        <v>18</v>
      </c>
      <c r="B7" s="0" t="s">
        <v>19</v>
      </c>
      <c r="C7" s="0" t="s">
        <v>20</v>
      </c>
      <c r="D7" s="0" t="n">
        <v>12</v>
      </c>
      <c r="H7" s="0" t="s">
        <v>21</v>
      </c>
    </row>
    <row r="8" customFormat="false" ht="15" hidden="false" customHeight="false" outlineLevel="0" collapsed="false">
      <c r="A8" s="0" t="s">
        <v>22</v>
      </c>
      <c r="B8" s="0" t="s">
        <v>23</v>
      </c>
      <c r="C8" s="0" t="s">
        <v>24</v>
      </c>
      <c r="D8" s="0" t="n">
        <v>0</v>
      </c>
      <c r="H8" s="0" t="s">
        <v>25</v>
      </c>
    </row>
    <row r="9" customFormat="false" ht="15" hidden="false" customHeight="false" outlineLevel="0" collapsed="false">
      <c r="B9" s="0" t="s">
        <v>26</v>
      </c>
      <c r="C9" s="0" t="s">
        <v>24</v>
      </c>
      <c r="D9" s="0" t="n">
        <v>1</v>
      </c>
      <c r="H9" s="0" t="s">
        <v>25</v>
      </c>
    </row>
    <row r="10" customFormat="false" ht="15" hidden="false" customHeight="false" outlineLevel="0" collapsed="false">
      <c r="B10" s="0" t="s">
        <v>27</v>
      </c>
      <c r="C10" s="0" t="s">
        <v>24</v>
      </c>
      <c r="D10" s="0" t="n">
        <v>0</v>
      </c>
      <c r="H10" s="0" t="s">
        <v>25</v>
      </c>
    </row>
    <row r="11" customFormat="false" ht="15" hidden="false" customHeight="false" outlineLevel="0" collapsed="false">
      <c r="B11" s="0" t="s">
        <v>28</v>
      </c>
      <c r="C11" s="0" t="s">
        <v>24</v>
      </c>
      <c r="D11" s="0" t="n">
        <v>1</v>
      </c>
      <c r="H11" s="0" t="s">
        <v>25</v>
      </c>
    </row>
    <row r="12" customFormat="false" ht="15" hidden="false" customHeight="false" outlineLevel="0" collapsed="false">
      <c r="B12" s="0" t="s">
        <v>29</v>
      </c>
      <c r="C12" s="0" t="s">
        <v>24</v>
      </c>
      <c r="D12" s="0" t="n">
        <v>0</v>
      </c>
      <c r="H12" s="0" t="s">
        <v>25</v>
      </c>
    </row>
    <row r="13" customFormat="false" ht="15" hidden="false" customHeight="false" outlineLevel="0" collapsed="false">
      <c r="B13" s="0" t="s">
        <v>30</v>
      </c>
      <c r="C13" s="0" t="s">
        <v>24</v>
      </c>
      <c r="D13" s="0" t="n">
        <v>1</v>
      </c>
      <c r="H13" s="0" t="s">
        <v>25</v>
      </c>
    </row>
    <row r="14" customFormat="false" ht="15" hidden="false" customHeight="false" outlineLevel="0" collapsed="false">
      <c r="A14" s="0" t="s">
        <v>31</v>
      </c>
      <c r="B14" s="0" t="s">
        <v>32</v>
      </c>
      <c r="C14" s="0" t="s">
        <v>33</v>
      </c>
      <c r="D14" s="0" t="n">
        <v>0.0517</v>
      </c>
      <c r="H14" s="0" t="s">
        <v>34</v>
      </c>
    </row>
    <row r="15" customFormat="false" ht="15" hidden="false" customHeight="false" outlineLevel="0" collapsed="false">
      <c r="A15" s="0" t="s">
        <v>35</v>
      </c>
      <c r="B15" s="0" t="s">
        <v>36</v>
      </c>
      <c r="C15" s="0" t="s">
        <v>33</v>
      </c>
      <c r="D15" s="0" t="n">
        <v>0.0628</v>
      </c>
      <c r="H15" s="0" t="s">
        <v>37</v>
      </c>
    </row>
    <row r="16" customFormat="false" ht="15" hidden="false" customHeight="false" outlineLevel="0" collapsed="false">
      <c r="A16" s="0" t="s">
        <v>38</v>
      </c>
      <c r="B16" s="0" t="s">
        <v>39</v>
      </c>
      <c r="C16" s="0" t="s">
        <v>33</v>
      </c>
      <c r="D16" s="0" t="n">
        <v>0.1355</v>
      </c>
      <c r="H16" s="0" t="s">
        <v>40</v>
      </c>
    </row>
    <row r="17" customFormat="false" ht="15" hidden="false" customHeight="false" outlineLevel="0" collapsed="false">
      <c r="A17" s="0" t="s">
        <v>41</v>
      </c>
      <c r="B17" s="0" t="s">
        <v>42</v>
      </c>
      <c r="C17" s="0" t="s">
        <v>33</v>
      </c>
      <c r="D17" s="0" t="n">
        <f aca="false">tasa_libre_riesgo+riesgo_pais+prima_proyecto</f>
        <v>0.25</v>
      </c>
      <c r="H17" s="0" t="s">
        <v>43</v>
      </c>
    </row>
    <row r="18" customFormat="false" ht="15" hidden="false" customHeight="false" outlineLevel="0" collapsed="false">
      <c r="A18" s="0" t="s">
        <v>44</v>
      </c>
      <c r="B18" s="0" t="s">
        <v>45</v>
      </c>
      <c r="C18" s="0" t="s">
        <v>33</v>
      </c>
      <c r="D18" s="0" t="n">
        <v>0.0423</v>
      </c>
      <c r="H18" s="0" t="s">
        <v>46</v>
      </c>
    </row>
    <row r="19" customFormat="false" ht="15" hidden="false" customHeight="false" outlineLevel="0" collapsed="false">
      <c r="A19" s="0" t="s">
        <v>47</v>
      </c>
      <c r="B19" s="0" t="s">
        <v>48</v>
      </c>
      <c r="C19" s="0" t="s">
        <v>33</v>
      </c>
      <c r="D19" s="0" t="n">
        <v>0.0971</v>
      </c>
      <c r="H19" s="0" t="s">
        <v>46</v>
      </c>
    </row>
    <row r="20" customFormat="false" ht="15" hidden="false" customHeight="false" outlineLevel="0" collapsed="false">
      <c r="A20" s="0" t="s">
        <v>49</v>
      </c>
      <c r="B20" s="0" t="s">
        <v>50</v>
      </c>
      <c r="C20" s="0" t="s">
        <v>33</v>
      </c>
      <c r="D20" s="0" t="n">
        <f aca="false">tasa_libre_riesgo+erp_maduro+crp_argentina</f>
        <v>0.1911</v>
      </c>
      <c r="H20" s="0" t="s">
        <v>51</v>
      </c>
    </row>
    <row r="21" customFormat="false" ht="15" hidden="false" customHeight="false" outlineLevel="0" collapsed="false">
      <c r="A21" s="0" t="s">
        <v>52</v>
      </c>
      <c r="B21" s="0" t="s">
        <v>53</v>
      </c>
      <c r="C21" s="0" t="s">
        <v>33</v>
      </c>
      <c r="D21" s="0" t="n">
        <v>0.02</v>
      </c>
      <c r="H21" s="0" t="s">
        <v>54</v>
      </c>
    </row>
    <row r="23" customFormat="false" ht="15" hidden="false" customHeight="false" outlineLevel="0" collapsed="false">
      <c r="A23" s="1" t="s">
        <v>55</v>
      </c>
    </row>
    <row r="24" customFormat="false" ht="15" hidden="false" customHeight="false" outlineLevel="0" collapsed="false">
      <c r="A24" s="0" t="s">
        <v>56</v>
      </c>
      <c r="B24" s="0" t="s">
        <v>57</v>
      </c>
      <c r="C24" s="0" t="s">
        <v>58</v>
      </c>
      <c r="D24" s="0" t="n">
        <v>2501629</v>
      </c>
      <c r="H24" s="0" t="s">
        <v>59</v>
      </c>
    </row>
    <row r="25" customFormat="false" ht="15" hidden="false" customHeight="false" outlineLevel="0" collapsed="false">
      <c r="A25" s="0" t="s">
        <v>60</v>
      </c>
      <c r="B25" s="0" t="s">
        <v>61</v>
      </c>
      <c r="C25" s="0" t="s">
        <v>62</v>
      </c>
      <c r="D25" s="0" t="n">
        <v>1397.88</v>
      </c>
      <c r="H25" s="0" t="s">
        <v>59</v>
      </c>
    </row>
    <row r="26" customFormat="false" ht="15" hidden="false" customHeight="false" outlineLevel="0" collapsed="false">
      <c r="A26" s="0" t="s">
        <v>63</v>
      </c>
      <c r="B26" s="0" t="s">
        <v>64</v>
      </c>
      <c r="C26" s="0" t="s">
        <v>65</v>
      </c>
      <c r="D26" s="0" t="n">
        <f aca="false">ROUND(sueldo_ars/tc_encuesta,0)</f>
        <v>1790</v>
      </c>
      <c r="H26" s="0" t="s">
        <v>51</v>
      </c>
    </row>
    <row r="27" customFormat="false" ht="15" hidden="false" customHeight="false" outlineLevel="0" collapsed="false">
      <c r="A27" s="0" t="s">
        <v>66</v>
      </c>
      <c r="B27" s="0" t="s">
        <v>67</v>
      </c>
      <c r="C27" s="0" t="s">
        <v>68</v>
      </c>
      <c r="D27" s="0" t="n">
        <v>13</v>
      </c>
      <c r="H27" s="0" t="s">
        <v>17</v>
      </c>
    </row>
    <row r="28" customFormat="false" ht="15" hidden="false" customHeight="false" outlineLevel="0" collapsed="false">
      <c r="A28" s="0" t="s">
        <v>69</v>
      </c>
      <c r="B28" s="0" t="s">
        <v>70</v>
      </c>
      <c r="C28" s="0" t="s">
        <v>33</v>
      </c>
      <c r="D28" s="0" t="n">
        <v>0.05</v>
      </c>
      <c r="H28" s="0" t="s">
        <v>17</v>
      </c>
    </row>
    <row r="29" customFormat="false" ht="15" hidden="false" customHeight="false" outlineLevel="0" collapsed="false">
      <c r="A29" s="0" t="s">
        <v>71</v>
      </c>
      <c r="B29" s="0" t="s">
        <v>72</v>
      </c>
      <c r="C29" s="0" t="s">
        <v>33</v>
      </c>
      <c r="D29" s="0" t="n">
        <v>0.26</v>
      </c>
      <c r="H29" s="0" t="s">
        <v>73</v>
      </c>
    </row>
    <row r="30" customFormat="false" ht="15" hidden="false" customHeight="false" outlineLevel="0" collapsed="false">
      <c r="A30" s="0" t="s">
        <v>74</v>
      </c>
      <c r="B30" s="0" t="s">
        <v>75</v>
      </c>
      <c r="C30" s="0" t="s">
        <v>20</v>
      </c>
      <c r="D30" s="0" t="n">
        <v>10</v>
      </c>
      <c r="H30" s="0" t="s">
        <v>76</v>
      </c>
    </row>
    <row r="32" customFormat="false" ht="15" hidden="false" customHeight="false" outlineLevel="0" collapsed="false">
      <c r="A32" s="1" t="s">
        <v>77</v>
      </c>
    </row>
    <row r="33" customFormat="false" ht="15" hidden="false" customHeight="false" outlineLevel="0" collapsed="false">
      <c r="A33" s="0" t="s">
        <v>78</v>
      </c>
      <c r="B33" s="0" t="s">
        <v>79</v>
      </c>
      <c r="C33" s="0" t="s">
        <v>33</v>
      </c>
      <c r="D33" s="0" t="n">
        <v>0.35</v>
      </c>
      <c r="H33" s="0" t="s">
        <v>80</v>
      </c>
    </row>
    <row r="34" customFormat="false" ht="15" hidden="false" customHeight="false" outlineLevel="0" collapsed="false">
      <c r="A34" s="0" t="s">
        <v>81</v>
      </c>
      <c r="B34" s="0" t="s">
        <v>82</v>
      </c>
      <c r="C34" s="0" t="s">
        <v>20</v>
      </c>
      <c r="D34" s="0" t="n">
        <v>2</v>
      </c>
      <c r="H34" s="0" t="s">
        <v>17</v>
      </c>
    </row>
    <row r="36" customFormat="false" ht="15" hidden="false" customHeight="false" outlineLevel="0" collapsed="false">
      <c r="A36" s="1" t="s">
        <v>83</v>
      </c>
    </row>
    <row r="37" customFormat="false" ht="15" hidden="false" customHeight="false" outlineLevel="0" collapsed="false">
      <c r="A37" s="0" t="s">
        <v>84</v>
      </c>
      <c r="B37" s="0" t="s">
        <v>85</v>
      </c>
      <c r="C37" s="0" t="s">
        <v>86</v>
      </c>
      <c r="D37" s="0" t="n">
        <v>156</v>
      </c>
      <c r="H37" s="0" t="s">
        <v>87</v>
      </c>
    </row>
    <row r="38" customFormat="false" ht="15" hidden="false" customHeight="false" outlineLevel="0" collapsed="false">
      <c r="A38" s="0" t="s">
        <v>88</v>
      </c>
      <c r="B38" s="0" t="s">
        <v>89</v>
      </c>
      <c r="C38" s="0" t="s">
        <v>86</v>
      </c>
      <c r="D38" s="0" t="n">
        <v>5.5</v>
      </c>
      <c r="H38" s="0" t="s">
        <v>90</v>
      </c>
    </row>
    <row r="39" customFormat="false" ht="15" hidden="false" customHeight="false" outlineLevel="0" collapsed="false">
      <c r="A39" s="0" t="s">
        <v>91</v>
      </c>
      <c r="B39" s="0" t="s">
        <v>92</v>
      </c>
      <c r="C39" s="0" t="s">
        <v>86</v>
      </c>
      <c r="D39" s="0" t="n">
        <v>53</v>
      </c>
      <c r="H39" s="0" t="s">
        <v>93</v>
      </c>
    </row>
    <row r="40" customFormat="false" ht="15" hidden="false" customHeight="false" outlineLevel="0" collapsed="false">
      <c r="A40" s="0" t="s">
        <v>94</v>
      </c>
      <c r="B40" s="0" t="s">
        <v>95</v>
      </c>
      <c r="C40" s="0" t="s">
        <v>86</v>
      </c>
      <c r="D40" s="0" t="n">
        <v>1500</v>
      </c>
      <c r="H40" s="0" t="s">
        <v>17</v>
      </c>
    </row>
    <row r="42" customFormat="false" ht="15" hidden="false" customHeight="false" outlineLevel="0" collapsed="false">
      <c r="A42" s="1" t="s">
        <v>96</v>
      </c>
    </row>
    <row r="43" customFormat="false" ht="15" hidden="false" customHeight="false" outlineLevel="0" collapsed="false">
      <c r="A43" s="0" t="s">
        <v>97</v>
      </c>
      <c r="B43" s="0" t="s">
        <v>98</v>
      </c>
      <c r="C43" s="0" t="s">
        <v>65</v>
      </c>
      <c r="D43" s="0" t="n">
        <v>20</v>
      </c>
      <c r="H43" s="0" t="s">
        <v>99</v>
      </c>
    </row>
    <row r="44" customFormat="false" ht="15" hidden="false" customHeight="false" outlineLevel="0" collapsed="false">
      <c r="A44" s="0" t="s">
        <v>100</v>
      </c>
      <c r="B44" s="0" t="s">
        <v>101</v>
      </c>
      <c r="C44" s="0" t="s">
        <v>65</v>
      </c>
      <c r="D44" s="0" t="n">
        <v>10</v>
      </c>
      <c r="H44" s="0" t="s">
        <v>102</v>
      </c>
    </row>
    <row r="45" customFormat="false" ht="15" hidden="false" customHeight="false" outlineLevel="0" collapsed="false">
      <c r="A45" s="0" t="s">
        <v>103</v>
      </c>
      <c r="B45" s="0" t="s">
        <v>104</v>
      </c>
      <c r="C45" s="0" t="s">
        <v>105</v>
      </c>
      <c r="D45" s="0" t="n">
        <v>10000</v>
      </c>
      <c r="H45" s="0" t="s">
        <v>17</v>
      </c>
    </row>
    <row r="46" customFormat="false" ht="15" hidden="false" customHeight="false" outlineLevel="0" collapsed="false">
      <c r="A46" s="0" t="s">
        <v>106</v>
      </c>
      <c r="B46" s="0" t="s">
        <v>107</v>
      </c>
      <c r="C46" s="0" t="s">
        <v>108</v>
      </c>
      <c r="D46" s="0" t="n">
        <v>5.5</v>
      </c>
      <c r="H46" s="0" t="s">
        <v>90</v>
      </c>
    </row>
    <row r="47" customFormat="false" ht="15" hidden="false" customHeight="false" outlineLevel="0" collapsed="false">
      <c r="A47" s="0" t="s">
        <v>109</v>
      </c>
      <c r="B47" s="0" t="s">
        <v>110</v>
      </c>
      <c r="C47" s="0" t="s">
        <v>108</v>
      </c>
      <c r="E47" s="0" t="n">
        <v>6000</v>
      </c>
      <c r="F47" s="0" t="n">
        <v>4000</v>
      </c>
      <c r="G47" s="0" t="n">
        <v>2000</v>
      </c>
      <c r="H47" s="0" t="s">
        <v>17</v>
      </c>
    </row>
    <row r="48" customFormat="false" ht="15" hidden="false" customHeight="false" outlineLevel="0" collapsed="false">
      <c r="B48" s="0" t="s">
        <v>111</v>
      </c>
      <c r="C48" s="0" t="s">
        <v>108</v>
      </c>
      <c r="E48" s="0" t="n">
        <v>9000</v>
      </c>
      <c r="F48" s="0" t="n">
        <v>6000</v>
      </c>
      <c r="G48" s="0" t="n">
        <v>3000</v>
      </c>
      <c r="H48" s="0" t="s">
        <v>17</v>
      </c>
    </row>
    <row r="49" customFormat="false" ht="15" hidden="false" customHeight="false" outlineLevel="0" collapsed="false">
      <c r="B49" s="0" t="s">
        <v>112</v>
      </c>
      <c r="C49" s="0" t="s">
        <v>108</v>
      </c>
      <c r="E49" s="0" t="n">
        <v>12000</v>
      </c>
      <c r="F49" s="0" t="n">
        <v>8000</v>
      </c>
      <c r="G49" s="0" t="n">
        <v>4000</v>
      </c>
      <c r="H49" s="0" t="s">
        <v>17</v>
      </c>
    </row>
    <row r="50" customFormat="false" ht="15" hidden="false" customHeight="false" outlineLevel="0" collapsed="false">
      <c r="B50" s="0" t="s">
        <v>113</v>
      </c>
      <c r="C50" s="0" t="s">
        <v>108</v>
      </c>
      <c r="E50" s="0" t="n">
        <v>15000</v>
      </c>
      <c r="F50" s="0" t="n">
        <v>10000</v>
      </c>
      <c r="G50" s="0" t="n">
        <v>5000</v>
      </c>
      <c r="H50" s="0" t="s">
        <v>17</v>
      </c>
    </row>
    <row r="51" customFormat="false" ht="15" hidden="false" customHeight="false" outlineLevel="0" collapsed="false">
      <c r="B51" s="0" t="s">
        <v>114</v>
      </c>
      <c r="C51" s="0" t="s">
        <v>108</v>
      </c>
      <c r="E51" s="0" t="n">
        <v>18000</v>
      </c>
      <c r="F51" s="0" t="n">
        <v>12000</v>
      </c>
      <c r="G51" s="0" t="n">
        <v>6000</v>
      </c>
      <c r="H51" s="0" t="s">
        <v>17</v>
      </c>
    </row>
    <row r="53" customFormat="false" ht="15" hidden="false" customHeight="false" outlineLevel="0" collapsed="false">
      <c r="A53" s="1" t="s">
        <v>115</v>
      </c>
    </row>
    <row r="54" customFormat="false" ht="15" hidden="false" customHeight="false" outlineLevel="0" collapsed="false">
      <c r="A54" s="0" t="s">
        <v>116</v>
      </c>
      <c r="B54" s="0" t="s">
        <v>117</v>
      </c>
      <c r="C54" s="0" t="s">
        <v>118</v>
      </c>
      <c r="D54" s="0" t="n">
        <v>0.2</v>
      </c>
      <c r="H54" s="0" t="s">
        <v>119</v>
      </c>
    </row>
    <row r="55" customFormat="false" ht="15" hidden="false" customHeight="false" outlineLevel="0" collapsed="false">
      <c r="A55" s="0" t="s">
        <v>120</v>
      </c>
      <c r="B55" s="0" t="s">
        <v>121</v>
      </c>
      <c r="C55" s="0" t="s">
        <v>118</v>
      </c>
      <c r="D55" s="0" t="n">
        <v>1.2</v>
      </c>
      <c r="H55" s="0" t="s">
        <v>119</v>
      </c>
    </row>
    <row r="56" customFormat="false" ht="15" hidden="false" customHeight="false" outlineLevel="0" collapsed="false">
      <c r="A56" s="0" t="s">
        <v>122</v>
      </c>
      <c r="B56" s="0" t="s">
        <v>123</v>
      </c>
      <c r="C56" s="0" t="s">
        <v>124</v>
      </c>
      <c r="D56" s="0" t="n">
        <v>0.01</v>
      </c>
      <c r="H56" s="0" t="s">
        <v>119</v>
      </c>
    </row>
    <row r="57" customFormat="false" ht="15" hidden="false" customHeight="false" outlineLevel="0" collapsed="false">
      <c r="A57" s="0" t="s">
        <v>125</v>
      </c>
      <c r="B57" s="0" t="s">
        <v>126</v>
      </c>
      <c r="C57" s="0" t="s">
        <v>127</v>
      </c>
      <c r="D57" s="0" t="n">
        <v>1000000</v>
      </c>
      <c r="H57" s="0" t="s">
        <v>21</v>
      </c>
    </row>
    <row r="58" customFormat="false" ht="15" hidden="false" customHeight="false" outlineLevel="0" collapsed="false">
      <c r="A58" s="0" t="s">
        <v>128</v>
      </c>
      <c r="B58" s="0" t="s">
        <v>129</v>
      </c>
      <c r="C58" s="0" t="s">
        <v>127</v>
      </c>
      <c r="E58" s="0" t="n">
        <v>6220</v>
      </c>
      <c r="F58" s="0" t="n">
        <v>11220</v>
      </c>
      <c r="G58" s="0" t="n">
        <v>18220</v>
      </c>
      <c r="H58" s="0" t="s">
        <v>130</v>
      </c>
    </row>
    <row r="59" customFormat="false" ht="15" hidden="false" customHeight="false" outlineLevel="0" collapsed="false">
      <c r="A59" s="0" t="s">
        <v>131</v>
      </c>
      <c r="B59" s="0" t="s">
        <v>132</v>
      </c>
      <c r="C59" s="0" t="s">
        <v>127</v>
      </c>
      <c r="E59" s="0" t="n">
        <v>1250</v>
      </c>
      <c r="F59" s="0" t="n">
        <v>2000</v>
      </c>
      <c r="G59" s="0" t="n">
        <v>3600</v>
      </c>
      <c r="H59" s="0" t="s">
        <v>130</v>
      </c>
    </row>
    <row r="60" customFormat="false" ht="15" hidden="false" customHeight="false" outlineLevel="0" collapsed="false">
      <c r="A60" s="0" t="s">
        <v>133</v>
      </c>
      <c r="B60" s="0" t="s">
        <v>134</v>
      </c>
      <c r="C60" s="0" t="s">
        <v>135</v>
      </c>
      <c r="E60" s="0" t="n">
        <v>1</v>
      </c>
      <c r="F60" s="0" t="n">
        <v>2</v>
      </c>
      <c r="G60" s="0" t="n">
        <v>3</v>
      </c>
      <c r="H60" s="0" t="s">
        <v>17</v>
      </c>
    </row>
    <row r="61" customFormat="false" ht="15" hidden="false" customHeight="false" outlineLevel="0" collapsed="false">
      <c r="A61" s="0" t="s">
        <v>136</v>
      </c>
      <c r="B61" s="0" t="s">
        <v>137</v>
      </c>
      <c r="C61" s="0" t="s">
        <v>86</v>
      </c>
      <c r="E61" s="0" t="n">
        <f aca="false">(E58*precio_entrada+E59*precio_salida)/tokens_por_millon+E60*precio_busqueda</f>
        <v>0.012744</v>
      </c>
      <c r="F61" s="0" t="n">
        <f aca="false">(F58*precio_entrada+F59*precio_salida)/tokens_por_millon+F60*precio_busqueda</f>
        <v>0.024644</v>
      </c>
      <c r="G61" s="0" t="n">
        <f aca="false">(G58*precio_entrada+G59*precio_salida)/tokens_por_millon+G60*precio_busqueda</f>
        <v>0.037964</v>
      </c>
      <c r="H61" s="0" t="s">
        <v>51</v>
      </c>
    </row>
    <row r="62" customFormat="false" ht="15" hidden="false" customHeight="false" outlineLevel="0" collapsed="false">
      <c r="A62" s="0" t="s">
        <v>138</v>
      </c>
      <c r="B62" s="0" t="s">
        <v>139</v>
      </c>
      <c r="C62" s="0" t="s">
        <v>105</v>
      </c>
      <c r="E62" s="0" t="n">
        <v>5000</v>
      </c>
      <c r="F62" s="0" t="n">
        <v>2000</v>
      </c>
      <c r="G62" s="0" t="n">
        <v>500</v>
      </c>
      <c r="H62" s="0" t="s">
        <v>17</v>
      </c>
    </row>
    <row r="63" customFormat="false" ht="15" hidden="false" customHeight="false" outlineLevel="0" collapsed="false">
      <c r="B63" s="0" t="s">
        <v>140</v>
      </c>
      <c r="C63" s="0" t="s">
        <v>105</v>
      </c>
      <c r="E63" s="0" t="n">
        <v>20000</v>
      </c>
      <c r="F63" s="0" t="n">
        <v>8000</v>
      </c>
      <c r="G63" s="0" t="n">
        <v>2000</v>
      </c>
      <c r="H63" s="0" t="s">
        <v>17</v>
      </c>
    </row>
    <row r="64" customFormat="false" ht="15" hidden="false" customHeight="false" outlineLevel="0" collapsed="false">
      <c r="B64" s="0" t="s">
        <v>141</v>
      </c>
      <c r="C64" s="0" t="s">
        <v>105</v>
      </c>
      <c r="E64" s="0" t="n">
        <v>50000</v>
      </c>
      <c r="F64" s="0" t="n">
        <v>20000</v>
      </c>
      <c r="G64" s="0" t="n">
        <v>5000</v>
      </c>
      <c r="H64" s="0" t="s">
        <v>17</v>
      </c>
    </row>
    <row r="65" customFormat="false" ht="15" hidden="false" customHeight="false" outlineLevel="0" collapsed="false">
      <c r="B65" s="0" t="s">
        <v>142</v>
      </c>
      <c r="C65" s="0" t="s">
        <v>105</v>
      </c>
      <c r="E65" s="0" t="n">
        <v>100000</v>
      </c>
      <c r="F65" s="0" t="n">
        <v>40000</v>
      </c>
      <c r="G65" s="0" t="n">
        <v>8000</v>
      </c>
      <c r="H65" s="0" t="s">
        <v>17</v>
      </c>
    </row>
    <row r="66" customFormat="false" ht="15" hidden="false" customHeight="false" outlineLevel="0" collapsed="false">
      <c r="B66" s="0" t="s">
        <v>143</v>
      </c>
      <c r="C66" s="0" t="s">
        <v>105</v>
      </c>
      <c r="E66" s="0" t="n">
        <v>150000</v>
      </c>
      <c r="F66" s="0" t="n">
        <v>60000</v>
      </c>
      <c r="G66" s="0" t="n">
        <v>10000</v>
      </c>
      <c r="H66" s="0" t="s">
        <v>17</v>
      </c>
    </row>
    <row r="67" customFormat="false" ht="15" hidden="false" customHeight="false" outlineLevel="0" collapsed="false">
      <c r="A67" s="0" t="s">
        <v>144</v>
      </c>
      <c r="B67" s="0" t="s">
        <v>145</v>
      </c>
      <c r="C67" s="0" t="s">
        <v>146</v>
      </c>
      <c r="E67" s="0" t="n">
        <v>20</v>
      </c>
      <c r="F67" s="0" t="n">
        <v>12</v>
      </c>
      <c r="G67" s="0" t="n">
        <v>6</v>
      </c>
      <c r="H67" s="0" t="s">
        <v>17</v>
      </c>
    </row>
    <row r="68" customFormat="false" ht="15" hidden="false" customHeight="false" outlineLevel="0" collapsed="false">
      <c r="A68" s="0" t="s">
        <v>147</v>
      </c>
      <c r="B68" s="0" t="s">
        <v>148</v>
      </c>
      <c r="C68" s="0" t="s">
        <v>146</v>
      </c>
      <c r="D68" s="0" t="n">
        <v>5</v>
      </c>
      <c r="H68" s="0" t="s">
        <v>149</v>
      </c>
    </row>
    <row r="69" customFormat="false" ht="15" hidden="false" customHeight="false" outlineLevel="0" collapsed="false">
      <c r="A69" s="0" t="s">
        <v>150</v>
      </c>
      <c r="B69" s="0" t="s">
        <v>151</v>
      </c>
      <c r="C69" s="0" t="s">
        <v>33</v>
      </c>
      <c r="E69" s="0" t="n">
        <v>0.4</v>
      </c>
      <c r="F69" s="0" t="n">
        <v>0.3</v>
      </c>
      <c r="G69" s="0" t="n">
        <v>0.2</v>
      </c>
      <c r="H69" s="0" t="s">
        <v>17</v>
      </c>
    </row>
    <row r="70" customFormat="false" ht="15" hidden="false" customHeight="false" outlineLevel="0" collapsed="false">
      <c r="A70" s="0" t="s">
        <v>152</v>
      </c>
      <c r="B70" s="0" t="s">
        <v>153</v>
      </c>
      <c r="C70" s="0" t="s">
        <v>154</v>
      </c>
      <c r="E70" s="0" t="n">
        <v>2000</v>
      </c>
      <c r="F70" s="0" t="n">
        <v>4000</v>
      </c>
      <c r="G70" s="0" t="n">
        <v>8000</v>
      </c>
      <c r="H70" s="0" t="s">
        <v>17</v>
      </c>
    </row>
    <row r="71" customFormat="false" ht="15" hidden="false" customHeight="false" outlineLevel="0" collapsed="false">
      <c r="A71" s="0" t="s">
        <v>155</v>
      </c>
      <c r="B71" s="0" t="s">
        <v>156</v>
      </c>
      <c r="C71" s="0" t="s">
        <v>154</v>
      </c>
      <c r="E71" s="0" t="n">
        <v>20000</v>
      </c>
      <c r="F71" s="0" t="n">
        <v>40000</v>
      </c>
      <c r="G71" s="0" t="n">
        <v>80000</v>
      </c>
      <c r="H71" s="0" t="s">
        <v>17</v>
      </c>
    </row>
    <row r="72" customFormat="false" ht="15" hidden="false" customHeight="false" outlineLevel="0" collapsed="false">
      <c r="A72" s="0" t="s">
        <v>157</v>
      </c>
      <c r="B72" s="0" t="s">
        <v>158</v>
      </c>
      <c r="C72" s="0" t="s">
        <v>154</v>
      </c>
      <c r="D72" s="0" t="n">
        <v>5000</v>
      </c>
      <c r="H72" s="0" t="s">
        <v>159</v>
      </c>
    </row>
    <row r="73" customFormat="false" ht="15" hidden="false" customHeight="false" outlineLevel="0" collapsed="false">
      <c r="A73" s="0" t="s">
        <v>160</v>
      </c>
      <c r="B73" s="0" t="s">
        <v>161</v>
      </c>
      <c r="C73" s="0" t="s">
        <v>154</v>
      </c>
      <c r="D73" s="0" t="n">
        <v>40000</v>
      </c>
      <c r="H73" s="0" t="s">
        <v>159</v>
      </c>
    </row>
    <row r="74" customFormat="false" ht="15" hidden="false" customHeight="false" outlineLevel="0" collapsed="false">
      <c r="A74" s="0" t="s">
        <v>162</v>
      </c>
      <c r="B74" s="0" t="s">
        <v>163</v>
      </c>
      <c r="C74" s="0" t="s">
        <v>164</v>
      </c>
      <c r="D74" s="0" t="n">
        <v>0.04</v>
      </c>
      <c r="H74" s="0" t="s">
        <v>159</v>
      </c>
    </row>
    <row r="76" customFormat="false" ht="15" hidden="false" customHeight="false" outlineLevel="0" collapsed="false">
      <c r="A76" s="1" t="s">
        <v>165</v>
      </c>
    </row>
    <row r="77" customFormat="false" ht="15" hidden="false" customHeight="false" outlineLevel="0" collapsed="false">
      <c r="A77" s="0" t="s">
        <v>166</v>
      </c>
      <c r="B77" s="0" t="s">
        <v>167</v>
      </c>
      <c r="C77" s="0" t="s">
        <v>168</v>
      </c>
      <c r="D77" s="0" t="n">
        <v>130</v>
      </c>
      <c r="H77" s="0" t="s">
        <v>169</v>
      </c>
    </row>
    <row r="78" customFormat="false" ht="15" hidden="false" customHeight="false" outlineLevel="0" collapsed="false">
      <c r="A78" s="0" t="s">
        <v>170</v>
      </c>
      <c r="B78" s="0" t="s">
        <v>171</v>
      </c>
      <c r="C78" s="0" t="s">
        <v>168</v>
      </c>
      <c r="D78" s="0" t="n">
        <v>10</v>
      </c>
      <c r="H78" s="0" t="s">
        <v>172</v>
      </c>
    </row>
    <row r="79" customFormat="false" ht="15" hidden="false" customHeight="false" outlineLevel="0" collapsed="false">
      <c r="A79" s="0" t="s">
        <v>173</v>
      </c>
      <c r="B79" s="0" t="s">
        <v>174</v>
      </c>
      <c r="C79" s="0" t="s">
        <v>168</v>
      </c>
      <c r="D79" s="0" t="n">
        <v>93</v>
      </c>
      <c r="H79" s="0" t="s">
        <v>169</v>
      </c>
    </row>
    <row r="80" customFormat="false" ht="15" hidden="false" customHeight="false" outlineLevel="0" collapsed="false">
      <c r="A80" s="0" t="s">
        <v>175</v>
      </c>
      <c r="B80" s="0" t="s">
        <v>176</v>
      </c>
      <c r="C80" s="0" t="s">
        <v>168</v>
      </c>
      <c r="D80" s="0" t="n">
        <v>3</v>
      </c>
      <c r="H80" s="0" t="s">
        <v>177</v>
      </c>
    </row>
    <row r="81" customFormat="false" ht="15" hidden="false" customHeight="false" outlineLevel="0" collapsed="false">
      <c r="A81" s="0" t="s">
        <v>178</v>
      </c>
      <c r="B81" s="0" t="s">
        <v>179</v>
      </c>
      <c r="C81" s="0" t="s">
        <v>168</v>
      </c>
      <c r="D81" s="0" t="n">
        <v>149</v>
      </c>
      <c r="H81" s="0" t="s">
        <v>180</v>
      </c>
    </row>
    <row r="82" customFormat="false" ht="15" hidden="false" customHeight="false" outlineLevel="0" collapsed="false">
      <c r="A82" s="0" t="s">
        <v>181</v>
      </c>
      <c r="B82" s="0" t="s">
        <v>182</v>
      </c>
      <c r="C82" s="0" t="s">
        <v>168</v>
      </c>
      <c r="D82" s="0" t="n">
        <v>32</v>
      </c>
      <c r="H82" s="0" t="s">
        <v>183</v>
      </c>
    </row>
    <row r="83" customFormat="false" ht="15" hidden="false" customHeight="false" outlineLevel="0" collapsed="false">
      <c r="A83" s="0" t="s">
        <v>184</v>
      </c>
      <c r="B83" s="0" t="s">
        <v>185</v>
      </c>
      <c r="C83" s="0" t="s">
        <v>168</v>
      </c>
      <c r="D83" s="0" t="n">
        <v>120</v>
      </c>
      <c r="H83" s="0" t="s">
        <v>186</v>
      </c>
    </row>
    <row r="84" customFormat="false" ht="15" hidden="false" customHeight="false" outlineLevel="0" collapsed="false">
      <c r="A84" s="0" t="s">
        <v>187</v>
      </c>
      <c r="B84" s="0" t="s">
        <v>188</v>
      </c>
      <c r="C84" s="0" t="s">
        <v>65</v>
      </c>
      <c r="E84" s="0" t="n">
        <v>3000</v>
      </c>
      <c r="F84" s="0" t="n">
        <v>2500</v>
      </c>
      <c r="G84" s="0" t="n">
        <v>1500</v>
      </c>
      <c r="H84" s="0" t="s">
        <v>159</v>
      </c>
    </row>
    <row r="85" customFormat="false" ht="15" hidden="false" customHeight="false" outlineLevel="0" collapsed="false">
      <c r="A85" s="0" t="s">
        <v>189</v>
      </c>
      <c r="B85" s="0" t="s">
        <v>190</v>
      </c>
      <c r="C85" s="0" t="s">
        <v>65</v>
      </c>
      <c r="D85" s="0" t="n">
        <v>200</v>
      </c>
      <c r="H85" s="0" t="s">
        <v>159</v>
      </c>
    </row>
    <row r="86" customFormat="false" ht="15" hidden="false" customHeight="false" outlineLevel="0" collapsed="false">
      <c r="A86" s="0" t="s">
        <v>191</v>
      </c>
      <c r="B86" s="0" t="s">
        <v>192</v>
      </c>
      <c r="C86" s="0" t="s">
        <v>65</v>
      </c>
      <c r="D86" s="0" t="n">
        <v>500</v>
      </c>
      <c r="H86" s="0" t="s">
        <v>159</v>
      </c>
    </row>
    <row r="87" customFormat="false" ht="15" hidden="false" customHeight="false" outlineLevel="0" collapsed="false">
      <c r="A87" s="0" t="s">
        <v>193</v>
      </c>
      <c r="B87" s="0" t="s">
        <v>194</v>
      </c>
      <c r="C87" s="0" t="s">
        <v>65</v>
      </c>
      <c r="D87" s="0" t="n">
        <v>100</v>
      </c>
      <c r="H87" s="0" t="s">
        <v>159</v>
      </c>
    </row>
    <row r="88" customFormat="false" ht="15" hidden="false" customHeight="false" outlineLevel="0" collapsed="false">
      <c r="A88" s="0" t="s">
        <v>195</v>
      </c>
      <c r="B88" s="0" t="s">
        <v>196</v>
      </c>
      <c r="C88" s="0" t="s">
        <v>197</v>
      </c>
      <c r="E88" s="0" t="n">
        <v>30000</v>
      </c>
      <c r="F88" s="0" t="n">
        <v>20000</v>
      </c>
      <c r="G88" s="0" t="n">
        <v>10000</v>
      </c>
      <c r="H88" s="0" t="s">
        <v>159</v>
      </c>
    </row>
    <row r="89" customFormat="false" ht="15" hidden="false" customHeight="false" outlineLevel="0" collapsed="false">
      <c r="A89" s="0" t="s">
        <v>198</v>
      </c>
      <c r="B89" s="0" t="s">
        <v>199</v>
      </c>
      <c r="C89" s="0" t="s">
        <v>65</v>
      </c>
      <c r="E89" s="0" t="n">
        <v>3000</v>
      </c>
      <c r="F89" s="0" t="n">
        <v>2500</v>
      </c>
      <c r="G89" s="0" t="n">
        <v>1500</v>
      </c>
      <c r="H89" s="0" t="s">
        <v>159</v>
      </c>
    </row>
    <row r="90" customFormat="false" ht="15" hidden="false" customHeight="false" outlineLevel="0" collapsed="false">
      <c r="A90" s="0" t="s">
        <v>200</v>
      </c>
      <c r="B90" s="0" t="s">
        <v>201</v>
      </c>
      <c r="C90" s="0" t="s">
        <v>105</v>
      </c>
      <c r="D90" s="0" t="n">
        <v>5000</v>
      </c>
      <c r="H90" s="0" t="s">
        <v>17</v>
      </c>
    </row>
    <row r="91" customFormat="false" ht="15" hidden="false" customHeight="false" outlineLevel="0" collapsed="false">
      <c r="A91" s="0" t="s">
        <v>202</v>
      </c>
      <c r="B91" s="0" t="s">
        <v>203</v>
      </c>
      <c r="C91" s="0" t="s">
        <v>33</v>
      </c>
      <c r="E91" s="0" t="n">
        <v>0.2</v>
      </c>
      <c r="F91" s="0" t="n">
        <v>0.1</v>
      </c>
      <c r="G91" s="0" t="n">
        <v>0.05</v>
      </c>
      <c r="H91" s="0" t="s">
        <v>17</v>
      </c>
    </row>
    <row r="92" customFormat="false" ht="15" hidden="false" customHeight="false" outlineLevel="0" collapsed="false">
      <c r="A92" s="0" t="s">
        <v>204</v>
      </c>
      <c r="B92" s="0" t="s">
        <v>205</v>
      </c>
      <c r="C92" s="0" t="s">
        <v>33</v>
      </c>
      <c r="E92" s="0" t="n">
        <v>0.1</v>
      </c>
      <c r="F92" s="0" t="n">
        <v>0.05</v>
      </c>
      <c r="G92" s="0" t="n">
        <v>0.02</v>
      </c>
      <c r="H92" s="0" t="s">
        <v>17</v>
      </c>
    </row>
    <row r="93" customFormat="false" ht="15" hidden="false" customHeight="false" outlineLevel="0" collapsed="false">
      <c r="A93" s="0" t="s">
        <v>206</v>
      </c>
      <c r="B93" s="0" t="s">
        <v>207</v>
      </c>
      <c r="C93" s="0" t="s">
        <v>33</v>
      </c>
      <c r="E93" s="0" t="n">
        <v>0.4</v>
      </c>
      <c r="F93" s="0" t="n">
        <v>0.3</v>
      </c>
      <c r="G93" s="0" t="n">
        <v>0.2</v>
      </c>
      <c r="H93" s="0" t="s">
        <v>17</v>
      </c>
    </row>
    <row r="94" customFormat="false" ht="15" hidden="false" customHeight="false" outlineLevel="0" collapsed="false">
      <c r="A94" s="0" t="s">
        <v>208</v>
      </c>
      <c r="B94" s="0" t="s">
        <v>209</v>
      </c>
      <c r="C94" s="0" t="s">
        <v>33</v>
      </c>
      <c r="E94" s="0" t="n">
        <v>0.08</v>
      </c>
      <c r="F94" s="0" t="n">
        <v>0.04</v>
      </c>
      <c r="G94" s="0" t="n">
        <v>0.02</v>
      </c>
      <c r="H94" s="0" t="s">
        <v>17</v>
      </c>
    </row>
    <row r="95" customFormat="false" ht="15" hidden="false" customHeight="false" outlineLevel="0" collapsed="false">
      <c r="A95" s="0" t="s">
        <v>210</v>
      </c>
      <c r="B95" s="0" t="s">
        <v>211</v>
      </c>
      <c r="C95" s="0" t="s">
        <v>33</v>
      </c>
      <c r="E95" s="0" t="n">
        <v>0.1</v>
      </c>
      <c r="F95" s="0" t="n">
        <v>0.06</v>
      </c>
      <c r="G95" s="0" t="n">
        <v>0.03</v>
      </c>
      <c r="H95" s="0" t="s">
        <v>17</v>
      </c>
    </row>
    <row r="96" customFormat="false" ht="15" hidden="false" customHeight="false" outlineLevel="0" collapsed="false">
      <c r="A96" s="0" t="s">
        <v>212</v>
      </c>
      <c r="B96" s="0" t="s">
        <v>213</v>
      </c>
      <c r="C96" s="0" t="s">
        <v>33</v>
      </c>
      <c r="E96" s="0" t="n">
        <v>0.05</v>
      </c>
      <c r="F96" s="0" t="n">
        <v>0.02</v>
      </c>
      <c r="G96" s="0" t="n">
        <v>0.01</v>
      </c>
      <c r="H96" s="0" t="s">
        <v>17</v>
      </c>
    </row>
    <row r="97" customFormat="false" ht="15" hidden="false" customHeight="false" outlineLevel="0" collapsed="false">
      <c r="A97" s="0" t="s">
        <v>214</v>
      </c>
      <c r="B97" s="0" t="s">
        <v>215</v>
      </c>
      <c r="C97" s="0" t="s">
        <v>33</v>
      </c>
      <c r="E97" s="0" t="n">
        <v>0.1</v>
      </c>
      <c r="F97" s="0" t="n">
        <v>0.15</v>
      </c>
      <c r="G97" s="0" t="n">
        <v>0.25</v>
      </c>
      <c r="H97" s="0" t="s">
        <v>17</v>
      </c>
    </row>
    <row r="98" customFormat="false" ht="15" hidden="false" customHeight="false" outlineLevel="0" collapsed="false">
      <c r="A98" s="0" t="s">
        <v>216</v>
      </c>
      <c r="B98" s="0" t="s">
        <v>217</v>
      </c>
      <c r="C98" s="0" t="s">
        <v>33</v>
      </c>
      <c r="E98" s="0" t="n">
        <v>0.15</v>
      </c>
      <c r="F98" s="0" t="n">
        <v>0.2</v>
      </c>
      <c r="G98" s="0" t="n">
        <v>0.3</v>
      </c>
      <c r="H98" s="0" t="s">
        <v>17</v>
      </c>
    </row>
    <row r="99" customFormat="false" ht="15" hidden="false" customHeight="false" outlineLevel="0" collapsed="false">
      <c r="A99" s="0" t="s">
        <v>218</v>
      </c>
      <c r="B99" s="0" t="s">
        <v>219</v>
      </c>
      <c r="C99" s="0" t="s">
        <v>33</v>
      </c>
      <c r="E99" s="0" t="n">
        <v>0</v>
      </c>
      <c r="F99" s="0" t="n">
        <v>0.1</v>
      </c>
      <c r="G99" s="0" t="n">
        <v>0.2</v>
      </c>
      <c r="H99" s="0" t="s">
        <v>17</v>
      </c>
    </row>
    <row r="100" customFormat="false" ht="15" hidden="false" customHeight="false" outlineLevel="0" collapsed="false">
      <c r="A100" s="0" t="s">
        <v>220</v>
      </c>
      <c r="B100" s="0" t="s">
        <v>221</v>
      </c>
      <c r="C100" s="0" t="s">
        <v>33</v>
      </c>
      <c r="E100" s="0" t="n">
        <v>0.05</v>
      </c>
      <c r="F100" s="0" t="n">
        <v>0.1</v>
      </c>
      <c r="G100" s="0" t="n">
        <v>0.15</v>
      </c>
      <c r="H100" s="0" t="s">
        <v>17</v>
      </c>
    </row>
    <row r="101" customFormat="false" ht="15" hidden="false" customHeight="false" outlineLevel="0" collapsed="false">
      <c r="A101" s="0" t="s">
        <v>222</v>
      </c>
      <c r="B101" s="0" t="s">
        <v>223</v>
      </c>
      <c r="C101" s="0" t="s">
        <v>33</v>
      </c>
      <c r="E101" s="0" t="n">
        <v>0.15</v>
      </c>
      <c r="F101" s="0" t="n">
        <v>0.2</v>
      </c>
      <c r="G101" s="0" t="n">
        <v>0.3</v>
      </c>
      <c r="H101" s="0" t="s">
        <v>17</v>
      </c>
    </row>
    <row r="103" customFormat="false" ht="15" hidden="false" customHeight="false" outlineLevel="0" collapsed="false">
      <c r="A103" s="1" t="s">
        <v>224</v>
      </c>
    </row>
    <row r="104" customFormat="false" ht="15" hidden="false" customHeight="false" outlineLevel="0" collapsed="false">
      <c r="A104" s="0" t="s">
        <v>225</v>
      </c>
      <c r="B104" s="0" t="s">
        <v>226</v>
      </c>
      <c r="C104" s="0" t="s">
        <v>227</v>
      </c>
      <c r="D104" s="0" t="n">
        <v>1</v>
      </c>
      <c r="H104" s="0" t="s">
        <v>21</v>
      </c>
    </row>
    <row r="105" customFormat="false" ht="15" hidden="false" customHeight="false" outlineLevel="0" collapsed="false">
      <c r="A105" s="0" t="s">
        <v>228</v>
      </c>
      <c r="B105" s="0" t="s">
        <v>229</v>
      </c>
      <c r="C105" s="0" t="s">
        <v>227</v>
      </c>
      <c r="D105" s="0" t="n">
        <v>1</v>
      </c>
      <c r="H105" s="0" t="s">
        <v>21</v>
      </c>
    </row>
    <row r="106" customFormat="false" ht="15" hidden="false" customHeight="false" outlineLevel="0" collapsed="false">
      <c r="A106" s="0" t="s">
        <v>230</v>
      </c>
      <c r="B106" s="0" t="s">
        <v>231</v>
      </c>
      <c r="C106" s="0" t="s">
        <v>227</v>
      </c>
      <c r="D106" s="0" t="n">
        <v>1</v>
      </c>
      <c r="H106" s="0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0"/>
  </cols>
  <sheetData>
    <row r="1" customFormat="false" ht="15" hidden="false" customHeight="false" outlineLevel="0" collapsed="false">
      <c r="A1" s="1" t="s">
        <v>232</v>
      </c>
      <c r="B1" s="1" t="s">
        <v>233</v>
      </c>
      <c r="C1" s="1" t="s">
        <v>234</v>
      </c>
      <c r="D1" s="1" t="s">
        <v>235</v>
      </c>
    </row>
    <row r="2" customFormat="false" ht="15" hidden="false" customHeight="false" outlineLevel="0" collapsed="false">
      <c r="A2" s="0" t="s">
        <v>236</v>
      </c>
      <c r="B2" s="0" t="n">
        <f aca="false">Optimista!B74</f>
        <v>833353.475342681</v>
      </c>
      <c r="C2" s="0" t="n">
        <f aca="false">Neutral!B74</f>
        <v>63935.7622353104</v>
      </c>
      <c r="D2" s="0" t="n">
        <f aca="false">Pesimista!B74</f>
        <v>-94161.0656562552</v>
      </c>
    </row>
    <row r="3" customFormat="false" ht="15" hidden="false" customHeight="false" outlineLevel="0" collapsed="false">
      <c r="A3" s="0" t="s">
        <v>237</v>
      </c>
      <c r="B3" s="2" t="n">
        <f aca="false">Optimista!B75</f>
        <v>55.5453931939874</v>
      </c>
      <c r="C3" s="2" t="n">
        <f aca="false">Neutral!B75</f>
        <v>0.725504464517237</v>
      </c>
      <c r="D3" s="2" t="str">
        <f aca="false">Pesimista!B75</f>
        <v>no definida</v>
      </c>
    </row>
    <row r="4" customFormat="false" ht="15" hidden="false" customHeight="false" outlineLevel="0" collapsed="false">
      <c r="A4" s="0" t="s">
        <v>238</v>
      </c>
      <c r="B4" s="0" t="n">
        <f aca="false">Optimista!B76</f>
        <v>0.0184589758553011</v>
      </c>
      <c r="C4" s="0" t="n">
        <f aca="false">Neutral!B76</f>
        <v>2.93217357426835</v>
      </c>
      <c r="D4" s="0" t="str">
        <f aca="false">Pesimista!B76</f>
        <v>no se recupera</v>
      </c>
    </row>
    <row r="5" customFormat="false" ht="15" hidden="false" customHeight="false" outlineLevel="0" collapsed="false">
      <c r="A5" s="0" t="s">
        <v>239</v>
      </c>
      <c r="B5" s="0" t="n">
        <f aca="false">Optimista!B77</f>
        <v>0.0230737198191263</v>
      </c>
      <c r="C5" s="0" t="n">
        <f aca="false">Neutral!B77</f>
        <v>3.46221348733306</v>
      </c>
      <c r="D5" s="0" t="str">
        <f aca="false">Pesimista!B77</f>
        <v>no se recupera</v>
      </c>
    </row>
    <row r="6" customFormat="false" ht="15" hidden="false" customHeight="false" outlineLevel="0" collapsed="false">
      <c r="A6" s="0" t="s">
        <v>240</v>
      </c>
      <c r="B6" s="0" t="n">
        <f aca="false">Optimista!B80</f>
        <v>17</v>
      </c>
      <c r="C6" s="0" t="n">
        <f aca="false">Neutral!B80</f>
        <v>23</v>
      </c>
      <c r="D6" s="0" t="n">
        <f aca="false">Pesimista!B80</f>
        <v>21</v>
      </c>
    </row>
    <row r="7" customFormat="false" ht="15" hidden="false" customHeight="false" outlineLevel="0" collapsed="false">
      <c r="A7" s="0" t="s">
        <v>241</v>
      </c>
      <c r="B7" s="0" t="n">
        <f aca="false">Optimista!B79</f>
        <v>10781.4432989691</v>
      </c>
      <c r="C7" s="0" t="n">
        <f aca="false">Neutral!B79</f>
        <v>8901.20481927711</v>
      </c>
      <c r="D7" s="0" t="n">
        <f aca="false">Pesimista!B79</f>
        <v>5600</v>
      </c>
    </row>
    <row r="8" customFormat="false" ht="15" hidden="false" customHeight="false" outlineLevel="0" collapsed="false">
      <c r="A8" s="0" t="s">
        <v>242</v>
      </c>
      <c r="B8" s="0" t="n">
        <f aca="false">Optimista!B78</f>
        <v>1609256.85245787</v>
      </c>
      <c r="C8" s="0" t="n">
        <f aca="false">Neutral!B78</f>
        <v>199501.165457116</v>
      </c>
      <c r="D8" s="0" t="n">
        <f aca="false">Pesimista!B78</f>
        <v>-94161.0656562552</v>
      </c>
    </row>
    <row r="10" customFormat="false" ht="15" hidden="false" customHeight="false" outlineLevel="0" collapsed="false">
      <c r="A10" s="1" t="s">
        <v>243</v>
      </c>
    </row>
    <row r="11" customFormat="false" ht="15" hidden="false" customHeight="false" outlineLevel="0" collapsed="false">
      <c r="A11" s="0" t="s">
        <v>244</v>
      </c>
      <c r="B11" s="0" t="n">
        <f aca="false">meses_anio*(u_medios_grandes*INDEX(precio_medios_grandes,1,2)+(u_medios_total-u_medios_grandes)*precio_medios_chicos+u_verificadores*precio_verificadores+u_universidades*precio_universidades+u_agencias*INDEX(precio_agencias,1,2))+u_organismos*INDEX(precio_organismos,1,2)</f>
        <v>5024800</v>
      </c>
    </row>
    <row r="12" customFormat="false" ht="15" hidden="false" customHeight="false" outlineLevel="0" collapsed="false">
      <c r="A12" s="0" t="s">
        <v>245</v>
      </c>
      <c r="B12" s="0" t="n">
        <f aca="false">meses_anio*(u_medios_grandes*INDEX(precio_medios_grandes,1,2)+u_medios_chicos*precio_medios_chicos+u_verificadores*precio_verificadores+u_universidades*precio_universidades+u_agencias*INDEX(precio_agencias,1,2))+u_organismos*INDEX(precio_organismos,1,2)</f>
        <v>4960000</v>
      </c>
    </row>
    <row r="13" customFormat="false" ht="15" hidden="false" customHeight="false" outlineLevel="0" collapsed="false">
      <c r="A13" s="0" t="s">
        <v>246</v>
      </c>
      <c r="B13" s="0" t="n">
        <f aca="false">Neutral!G45</f>
        <v>369400</v>
      </c>
    </row>
    <row r="15" customFormat="false" ht="15" hidden="false" customHeight="false" outlineLevel="0" collapsed="false">
      <c r="A15" s="1" t="s">
        <v>247</v>
      </c>
    </row>
    <row r="16" customFormat="false" ht="15" hidden="false" customHeight="false" outlineLevel="0" collapsed="false">
      <c r="A16" s="0" t="s">
        <v>248</v>
      </c>
      <c r="B16" s="0" t="n">
        <f aca="false">meses_anio_0*sueldo_usd*(1+cargas_sociales)*sueldos_por_anio/meses_anio</f>
        <v>24433.5</v>
      </c>
    </row>
    <row r="17" customFormat="false" ht="15" hidden="false" customHeight="false" outlineLevel="0" collapsed="false">
      <c r="A17" s="0" t="s">
        <v>249</v>
      </c>
      <c r="B17" s="0" t="n">
        <f aca="false">tasa_capm</f>
        <v>0.1911</v>
      </c>
    </row>
    <row r="19" customFormat="false" ht="15" hidden="false" customHeight="false" outlineLevel="0" collapsed="false">
      <c r="A19" s="1" t="s">
        <v>250</v>
      </c>
      <c r="B19" s="0" t="s">
        <v>233</v>
      </c>
      <c r="C19" s="0" t="s">
        <v>234</v>
      </c>
      <c r="D19" s="0" t="s">
        <v>235</v>
      </c>
    </row>
    <row r="20" customFormat="false" ht="15" hidden="false" customHeight="false" outlineLevel="0" collapsed="false">
      <c r="A20" s="0" t="s">
        <v>251</v>
      </c>
      <c r="B20" s="0" t="n">
        <f aca="false">cuota_intermedia*(1-INDEX(tasa_reuso,1,1))*INDEX(costo_analisis,1,1)*sens_costo_analisis</f>
        <v>38.232</v>
      </c>
      <c r="C20" s="0" t="n">
        <f aca="false">cuota_intermedia*(1-INDEX(tasa_reuso,1,2))*INDEX(costo_analisis,1,2)*sens_costo_analisis</f>
        <v>86.254</v>
      </c>
      <c r="D20" s="0" t="n">
        <f aca="false">cuota_intermedia*(1-INDEX(tasa_reuso,1,3))*INDEX(costo_analisis,1,3)*sens_costo_analisis</f>
        <v>151.856</v>
      </c>
    </row>
    <row r="21" customFormat="false" ht="15" hidden="false" customHeight="false" outlineLevel="0" collapsed="false">
      <c r="A21" s="0" t="s">
        <v>252</v>
      </c>
      <c r="B21" s="0" t="n">
        <f aca="false">precio_medios_chicos*sens_precios-cuota_intermedia*(1-INDEX(tasa_reuso,1,1))*INDEX(costo_analisis,1,1)*sens_costo_analisis</f>
        <v>161.768</v>
      </c>
      <c r="C21" s="0" t="n">
        <f aca="false">precio_medios_chicos*sens_precios-cuota_intermedia*(1-INDEX(tasa_reuso,1,2))*INDEX(costo_analisis,1,2)*sens_costo_analisis</f>
        <v>113.746</v>
      </c>
      <c r="D21" s="0" t="n">
        <f aca="false">precio_medios_chicos*sens_precios-cuota_intermedia*(1-INDEX(tasa_reuso,1,3))*INDEX(costo_analisis,1,3)*sens_costo_analisis</f>
        <v>48.144</v>
      </c>
    </row>
    <row r="22" customFormat="false" ht="15" hidden="false" customHeight="false" outlineLevel="0" collapsed="false">
      <c r="A22" s="0" t="s">
        <v>253</v>
      </c>
      <c r="B22" s="0" t="n">
        <f aca="false">cuota_superior*(1-INDEX(tasa_reuso,1,1))*INDEX(costo_analisis,1,1)*sens_costo_analisis</f>
        <v>305.856</v>
      </c>
      <c r="C22" s="0" t="n">
        <f aca="false">cuota_superior*(1-INDEX(tasa_reuso,1,2))*INDEX(costo_analisis,1,2)*sens_costo_analisis</f>
        <v>690.032</v>
      </c>
      <c r="D22" s="0" t="n">
        <f aca="false">cuota_superior*(1-INDEX(tasa_reuso,1,3))*INDEX(costo_analisis,1,3)*sens_costo_analisis</f>
        <v>1214.848</v>
      </c>
    </row>
    <row r="23" customFormat="false" ht="15" hidden="false" customHeight="false" outlineLevel="0" collapsed="false">
      <c r="A23" s="0" t="s">
        <v>254</v>
      </c>
      <c r="B23" s="0" t="n">
        <f aca="false">INDEX(precio_medios_grandes,1,1)*sens_precios-cuota_superior*(1-INDEX(tasa_reuso,1,1))*INDEX(costo_analisis,1,1)*sens_costo_analisis</f>
        <v>2694.144</v>
      </c>
      <c r="C23" s="0" t="n">
        <f aca="false">INDEX(precio_medios_grandes,1,2)*sens_precios-cuota_superior*(1-INDEX(tasa_reuso,1,2))*INDEX(costo_analisis,1,2)*sens_costo_analisis</f>
        <v>1809.968</v>
      </c>
      <c r="D23" s="0" t="n">
        <f aca="false">INDEX(precio_medios_grandes,1,3)*sens_precios-cuota_superior*(1-INDEX(tasa_reuso,1,3))*INDEX(costo_analisis,1,3)*sens_costo_analisis</f>
        <v>285.152</v>
      </c>
    </row>
    <row r="25" customFormat="false" ht="15" hidden="false" customHeight="false" outlineLevel="0" collapsed="false">
      <c r="A25" s="1" t="s">
        <v>255</v>
      </c>
      <c r="B25" s="0" t="s">
        <v>256</v>
      </c>
      <c r="C25" s="0" t="s">
        <v>257</v>
      </c>
      <c r="D25" s="0" t="s">
        <v>258</v>
      </c>
      <c r="E25" s="0" t="s">
        <v>259</v>
      </c>
      <c r="F25" s="0" t="s">
        <v>260</v>
      </c>
      <c r="G25" s="0" t="s">
        <v>261</v>
      </c>
      <c r="H25" s="0" t="s">
        <v>262</v>
      </c>
    </row>
    <row r="26" customFormat="false" ht="15" hidden="false" customHeight="false" outlineLevel="0" collapsed="false">
      <c r="A26" s="0" t="s">
        <v>263</v>
      </c>
      <c r="B26" s="0" t="n">
        <f aca="false">SUM(Neutral!C50:G50)/(SUM(Neutral!C12:G12)+SUM(Neutral!C17:G17)+SUM(Neutral!C22:G22)+SUM(Neutral!C27:G27)+SUM(Neutral!C32:G32))</f>
        <v>740.740740740741</v>
      </c>
    </row>
    <row r="27" customFormat="false" ht="15" hidden="false" customHeight="false" outlineLevel="0" collapsed="false">
      <c r="A27" s="0" t="s">
        <v>264</v>
      </c>
      <c r="B27" s="0" t="n">
        <f aca="false">INDEX(precio_medios_grandes,1,2)*sens_precios</f>
        <v>2500</v>
      </c>
      <c r="C27" s="0" t="n">
        <f aca="false">MIN(INDEX(consultas_ent_mes,1,2),cuota_superior)*(1-INDEX(tasa_reuso,1,2))*INDEX(costo_analisis,1,2)*sens_costo_analisis</f>
        <v>690.032</v>
      </c>
      <c r="D27" s="0" t="n">
        <f aca="false">B27-C27</f>
        <v>1809.968</v>
      </c>
      <c r="E27" s="0" t="n">
        <f aca="false">INDEX(churn_medios_grandes,1,2)</f>
        <v>0.15</v>
      </c>
      <c r="F27" s="0" t="n">
        <f aca="false">D27*meses_anio/E27</f>
        <v>144797.44</v>
      </c>
      <c r="G27" s="0" t="n">
        <f aca="false">F27/$B$26</f>
        <v>195.476544</v>
      </c>
      <c r="H27" s="0" t="n">
        <f aca="false">$B$26/D27</f>
        <v>0.40925626350341</v>
      </c>
    </row>
    <row r="28" customFormat="false" ht="15" hidden="false" customHeight="false" outlineLevel="0" collapsed="false">
      <c r="A28" s="0" t="s">
        <v>265</v>
      </c>
      <c r="B28" s="0" t="n">
        <f aca="false">precio_medios_chicos*sens_precios</f>
        <v>200</v>
      </c>
      <c r="C28" s="0" t="n">
        <f aca="false">MIN(INDEX(consultas_pro_mes,1,2),cuota_intermedia)*(1-INDEX(tasa_reuso,1,2))*INDEX(costo_analisis,1,2)*sens_costo_analisis</f>
        <v>69.0032</v>
      </c>
      <c r="D28" s="0" t="n">
        <f aca="false">B28-C28</f>
        <v>130.9968</v>
      </c>
      <c r="E28" s="0" t="n">
        <f aca="false">INDEX(churn_medios_chicos,1,2)</f>
        <v>0.2</v>
      </c>
      <c r="F28" s="0" t="n">
        <f aca="false">D28*meses_anio/E28</f>
        <v>7859.808</v>
      </c>
      <c r="G28" s="0" t="n">
        <f aca="false">F28/$B$26</f>
        <v>10.6107408</v>
      </c>
      <c r="H28" s="0" t="n">
        <f aca="false">$B$26/D28</f>
        <v>5.6546476000997</v>
      </c>
    </row>
    <row r="29" customFormat="false" ht="15" hidden="false" customHeight="false" outlineLevel="0" collapsed="false">
      <c r="A29" s="0" t="s">
        <v>266</v>
      </c>
      <c r="B29" s="0" t="n">
        <f aca="false">precio_verificadores*sens_precios</f>
        <v>500</v>
      </c>
      <c r="C29" s="0" t="n">
        <f aca="false">MIN(INDEX(consultas_pro_mes,1,2),cuota_intermedia)*(1-INDEX(tasa_reuso,1,2))*INDEX(costo_analisis,1,2)*sens_costo_analisis</f>
        <v>69.0032</v>
      </c>
      <c r="D29" s="0" t="n">
        <f aca="false">B29-C29</f>
        <v>430.9968</v>
      </c>
      <c r="E29" s="0" t="n">
        <f aca="false">INDEX(churn_verificadores,1,2)</f>
        <v>0.1</v>
      </c>
      <c r="F29" s="0" t="n">
        <f aca="false">D29*meses_anio/E29</f>
        <v>51719.616</v>
      </c>
      <c r="G29" s="0" t="n">
        <f aca="false">F29/$B$26</f>
        <v>69.8214816</v>
      </c>
      <c r="H29" s="0" t="n">
        <f aca="false">$B$26/D29</f>
        <v>1.71866877141719</v>
      </c>
    </row>
    <row r="30" customFormat="false" ht="15" hidden="false" customHeight="false" outlineLevel="0" collapsed="false">
      <c r="A30" s="0" t="s">
        <v>267</v>
      </c>
      <c r="B30" s="0" t="n">
        <f aca="false">precio_universidades*sens_precios</f>
        <v>100</v>
      </c>
      <c r="C30" s="0" t="n">
        <f aca="false">0*(1-INDEX(tasa_reuso,1,2))*INDEX(costo_analisis,1,2)*sens_costo_analisis</f>
        <v>0</v>
      </c>
      <c r="D30" s="0" t="n">
        <f aca="false">B30-C30</f>
        <v>100</v>
      </c>
      <c r="E30" s="0" t="n">
        <f aca="false">INDEX(churn_universidades,1,2)</f>
        <v>0.1</v>
      </c>
      <c r="F30" s="0" t="n">
        <f aca="false">D30*meses_anio/E30</f>
        <v>12000</v>
      </c>
      <c r="G30" s="0" t="n">
        <f aca="false">F30/$B$26</f>
        <v>16.2</v>
      </c>
      <c r="H30" s="0" t="n">
        <f aca="false">$B$26/D30</f>
        <v>7.40740740740741</v>
      </c>
    </row>
    <row r="31" customFormat="false" ht="15" hidden="false" customHeight="false" outlineLevel="0" collapsed="false">
      <c r="A31" s="0" t="s">
        <v>268</v>
      </c>
      <c r="B31" s="0" t="n">
        <f aca="false">INDEX(precio_agencias,1,2)*sens_precios</f>
        <v>2500</v>
      </c>
      <c r="C31" s="0" t="n">
        <f aca="false">MIN(INDEX(consultas_ent_mes,1,2),cuota_superior)*(1-INDEX(tasa_reuso,1,2))*INDEX(costo_analisis,1,2)*sens_costo_analisis</f>
        <v>690.032</v>
      </c>
      <c r="D31" s="0" t="n">
        <f aca="false">B31-C31</f>
        <v>1809.968</v>
      </c>
      <c r="E31" s="0" t="n">
        <f aca="false">INDEX(churn_agencias,1,2)</f>
        <v>0.2</v>
      </c>
      <c r="F31" s="0" t="n">
        <f aca="false">D31*meses_anio/E31</f>
        <v>108598.08</v>
      </c>
      <c r="G31" s="0" t="n">
        <f aca="false">F31/$B$26</f>
        <v>146.607408</v>
      </c>
      <c r="H31" s="0" t="n">
        <f aca="false">$B$26/D31</f>
        <v>0.40925626350341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1" t="s">
        <v>269</v>
      </c>
    </row>
    <row r="2" customFormat="false" ht="15" hidden="false" customHeight="false" outlineLevel="0" collapsed="false">
      <c r="A2" s="0" t="s">
        <v>270</v>
      </c>
      <c r="B2" s="0" t="n">
        <v>1</v>
      </c>
    </row>
    <row r="3" customFormat="false" ht="15" hidden="false" customHeight="false" outlineLevel="0" collapsed="false">
      <c r="A3" s="0" t="s">
        <v>271</v>
      </c>
      <c r="B3" s="0" t="n">
        <f aca="false">COLUMN()-2</f>
        <v>0</v>
      </c>
      <c r="C3" s="0" t="n">
        <f aca="false">COLUMN()-2</f>
        <v>1</v>
      </c>
      <c r="D3" s="0" t="n">
        <f aca="false">COLUMN()-2</f>
        <v>2</v>
      </c>
      <c r="E3" s="0" t="n">
        <f aca="false">COLUMN()-2</f>
        <v>3</v>
      </c>
      <c r="F3" s="0" t="n">
        <f aca="false">COLUMN()-2</f>
        <v>4</v>
      </c>
      <c r="G3" s="0" t="n">
        <f aca="false">COLUMN()-2</f>
        <v>5</v>
      </c>
    </row>
    <row r="4" customFormat="false" ht="15" hidden="false" customHeight="false" outlineLevel="0" collapsed="false">
      <c r="A4" s="0" t="s">
        <v>272</v>
      </c>
      <c r="B4" s="0" t="n">
        <f aca="false">anio_0+B$3</f>
        <v>2026</v>
      </c>
      <c r="C4" s="0" t="n">
        <f aca="false">anio_0+C$3</f>
        <v>2027</v>
      </c>
      <c r="D4" s="0" t="n">
        <f aca="false">anio_0+D$3</f>
        <v>2028</v>
      </c>
      <c r="E4" s="0" t="n">
        <f aca="false">anio_0+E$3</f>
        <v>2029</v>
      </c>
      <c r="F4" s="0" t="n">
        <f aca="false">anio_0+F$3</f>
        <v>2030</v>
      </c>
      <c r="G4" s="0" t="n">
        <f aca="false">anio_0+G$3</f>
        <v>2031</v>
      </c>
    </row>
    <row r="5" customFormat="false" ht="15" hidden="false" customHeight="false" outlineLevel="0" collapsed="false">
      <c r="A5" s="0" t="s">
        <v>273</v>
      </c>
      <c r="B5" s="0" t="n">
        <f aca="false">INDEX(anio_electoral,B$3+1)</f>
        <v>0</v>
      </c>
      <c r="C5" s="0" t="n">
        <f aca="false">INDEX(anio_electoral,C$3+1)</f>
        <v>1</v>
      </c>
      <c r="D5" s="0" t="n">
        <f aca="false">INDEX(anio_electoral,D$3+1)</f>
        <v>0</v>
      </c>
      <c r="E5" s="0" t="n">
        <f aca="false">INDEX(anio_electoral,E$3+1)</f>
        <v>1</v>
      </c>
      <c r="F5" s="0" t="n">
        <f aca="false">INDEX(anio_electoral,F$3+1)</f>
        <v>0</v>
      </c>
      <c r="G5" s="0" t="n">
        <f aca="false">INDEX(anio_electoral,G$3+1)</f>
        <v>1</v>
      </c>
    </row>
    <row r="6" customFormat="false" ht="15" hidden="false" customHeight="false" outlineLevel="0" collapsed="false">
      <c r="A6" s="0" t="s">
        <v>274</v>
      </c>
      <c r="C6" s="0" t="n">
        <f aca="false">INDEX(usuarios_activos,C$3,$B$2)</f>
        <v>5000</v>
      </c>
      <c r="D6" s="0" t="n">
        <f aca="false">INDEX(usuarios_activos,D$3,$B$2)</f>
        <v>20000</v>
      </c>
      <c r="E6" s="0" t="n">
        <f aca="false">INDEX(usuarios_activos,E$3,$B$2)</f>
        <v>50000</v>
      </c>
      <c r="F6" s="0" t="n">
        <f aca="false">INDEX(usuarios_activos,F$3,$B$2)</f>
        <v>100000</v>
      </c>
      <c r="G6" s="0" t="n">
        <f aca="false">INDEX(usuarios_activos,G$3,$B$2)</f>
        <v>150000</v>
      </c>
    </row>
    <row r="7" customFormat="false" ht="15" hidden="false" customHeight="false" outlineLevel="0" collapsed="false">
      <c r="A7" s="0" t="s">
        <v>275</v>
      </c>
      <c r="C7" s="0" t="n">
        <f aca="false">IF(C6&gt;=ua_inicio_b2b,1,0)</f>
        <v>1</v>
      </c>
      <c r="D7" s="0" t="n">
        <f aca="false">IF(D6&gt;=ua_inicio_b2b,1,0)</f>
        <v>1</v>
      </c>
      <c r="E7" s="0" t="n">
        <f aca="false">IF(E6&gt;=ua_inicio_b2b,1,0)</f>
        <v>1</v>
      </c>
      <c r="F7" s="0" t="n">
        <f aca="false">IF(F6&gt;=ua_inicio_b2b,1,0)</f>
        <v>1</v>
      </c>
      <c r="G7" s="0" t="n">
        <f aca="false">IF(G6&gt;=ua_inicio_b2b,1,0)</f>
        <v>1</v>
      </c>
    </row>
    <row r="9" customFormat="false" ht="15" hidden="false" customHeight="false" outlineLevel="0" collapsed="false">
      <c r="A9" s="1" t="s">
        <v>165</v>
      </c>
    </row>
    <row r="10" customFormat="false" ht="15" hidden="false" customHeight="false" outlineLevel="0" collapsed="false">
      <c r="A10" s="0" t="s">
        <v>276</v>
      </c>
      <c r="C10" s="0" t="n">
        <f aca="false">N(B13)</f>
        <v>0</v>
      </c>
      <c r="D10" s="0" t="n">
        <f aca="false">N(C13)</f>
        <v>2</v>
      </c>
      <c r="E10" s="0" t="n">
        <f aca="false">N(D13)</f>
        <v>4</v>
      </c>
      <c r="F10" s="0" t="n">
        <f aca="false">N(E13)</f>
        <v>5</v>
      </c>
      <c r="G10" s="0" t="n">
        <f aca="false">N(F13)</f>
        <v>5</v>
      </c>
    </row>
    <row r="11" customFormat="false" ht="15" hidden="false" customHeight="false" outlineLevel="0" collapsed="false">
      <c r="A11" s="0" t="s">
        <v>277</v>
      </c>
      <c r="C11" s="0" t="n">
        <f aca="false">ROUND(INDEX(churn_medios_grandes,1,$B$2)*C10,0)</f>
        <v>0</v>
      </c>
      <c r="D11" s="0" t="n">
        <f aca="false">ROUND(INDEX(churn_medios_grandes,1,$B$2)*D10,0)</f>
        <v>0</v>
      </c>
      <c r="E11" s="0" t="n">
        <f aca="false">ROUND(INDEX(churn_medios_grandes,1,$B$2)*E10,0)</f>
        <v>0</v>
      </c>
      <c r="F11" s="0" t="n">
        <f aca="false">ROUND(INDEX(churn_medios_grandes,1,$B$2)*F10,0)</f>
        <v>1</v>
      </c>
      <c r="G11" s="0" t="n">
        <f aca="false">ROUND(INDEX(churn_medios_grandes,1,$B$2)*G10,0)</f>
        <v>1</v>
      </c>
    </row>
    <row r="12" customFormat="false" ht="15" hidden="false" customHeight="false" outlineLevel="0" collapsed="false">
      <c r="A12" s="0" t="s">
        <v>278</v>
      </c>
      <c r="C12" s="0" t="n">
        <f aca="false">C7*ROUND(INDEX(capt_medios_grandes,1,$B$2)*sens_captacion*(u_medios_grandes-C10),0)</f>
        <v>2</v>
      </c>
      <c r="D12" s="0" t="n">
        <f aca="false">D7*ROUND(INDEX(capt_medios_grandes,1,$B$2)*sens_captacion*(u_medios_grandes-D10),0)</f>
        <v>2</v>
      </c>
      <c r="E12" s="0" t="n">
        <f aca="false">E7*ROUND(INDEX(capt_medios_grandes,1,$B$2)*sens_captacion*(u_medios_grandes-E10),0)</f>
        <v>1</v>
      </c>
      <c r="F12" s="0" t="n">
        <f aca="false">F7*ROUND(INDEX(capt_medios_grandes,1,$B$2)*sens_captacion*(u_medios_grandes-F10),0)</f>
        <v>1</v>
      </c>
      <c r="G12" s="0" t="n">
        <f aca="false">G7*ROUND(INDEX(capt_medios_grandes,1,$B$2)*sens_captacion*(u_medios_grandes-G10),0)</f>
        <v>1</v>
      </c>
    </row>
    <row r="13" customFormat="false" ht="15" hidden="false" customHeight="false" outlineLevel="0" collapsed="false">
      <c r="A13" s="0" t="s">
        <v>279</v>
      </c>
      <c r="C13" s="0" t="n">
        <f aca="false">C10+C12-C11</f>
        <v>2</v>
      </c>
      <c r="D13" s="0" t="n">
        <f aca="false">D10+D12-D11</f>
        <v>4</v>
      </c>
      <c r="E13" s="0" t="n">
        <f aca="false">E10+E12-E11</f>
        <v>5</v>
      </c>
      <c r="F13" s="0" t="n">
        <f aca="false">F10+F12-F11</f>
        <v>5</v>
      </c>
      <c r="G13" s="0" t="n">
        <f aca="false">G10+G12-G11</f>
        <v>5</v>
      </c>
    </row>
    <row r="14" customFormat="false" ht="15" hidden="false" customHeight="false" outlineLevel="0" collapsed="false">
      <c r="A14" s="0" t="s">
        <v>280</v>
      </c>
      <c r="C14" s="0" t="n">
        <f aca="false">(C10+C13)/2</f>
        <v>1</v>
      </c>
      <c r="D14" s="0" t="n">
        <f aca="false">(D10+D13)/2</f>
        <v>3</v>
      </c>
      <c r="E14" s="0" t="n">
        <f aca="false">(E10+E13)/2</f>
        <v>4.5</v>
      </c>
      <c r="F14" s="0" t="n">
        <f aca="false">(F10+F13)/2</f>
        <v>5</v>
      </c>
      <c r="G14" s="0" t="n">
        <f aca="false">(G10+G13)/2</f>
        <v>5</v>
      </c>
    </row>
    <row r="15" customFormat="false" ht="15" hidden="false" customHeight="false" outlineLevel="0" collapsed="false">
      <c r="A15" s="0" t="s">
        <v>281</v>
      </c>
      <c r="C15" s="0" t="n">
        <f aca="false">N(B18)</f>
        <v>0</v>
      </c>
      <c r="D15" s="0" t="n">
        <f aca="false">N(C18)</f>
        <v>9</v>
      </c>
      <c r="E15" s="0" t="n">
        <f aca="false">N(D18)</f>
        <v>16</v>
      </c>
      <c r="F15" s="0" t="n">
        <f aca="false">N(E18)</f>
        <v>22</v>
      </c>
      <c r="G15" s="0" t="n">
        <f aca="false">N(F18)</f>
        <v>26</v>
      </c>
    </row>
    <row r="16" customFormat="false" ht="15" hidden="false" customHeight="false" outlineLevel="0" collapsed="false">
      <c r="A16" s="0" t="s">
        <v>282</v>
      </c>
      <c r="C16" s="0" t="n">
        <f aca="false">ROUND(INDEX(churn_medios_chicos,1,$B$2)*C15,0)</f>
        <v>0</v>
      </c>
      <c r="D16" s="0" t="n">
        <f aca="false">ROUND(INDEX(churn_medios_chicos,1,$B$2)*D15,0)</f>
        <v>1</v>
      </c>
      <c r="E16" s="0" t="n">
        <f aca="false">ROUND(INDEX(churn_medios_chicos,1,$B$2)*E15,0)</f>
        <v>2</v>
      </c>
      <c r="F16" s="0" t="n">
        <f aca="false">ROUND(INDEX(churn_medios_chicos,1,$B$2)*F15,0)</f>
        <v>3</v>
      </c>
      <c r="G16" s="0" t="n">
        <f aca="false">ROUND(INDEX(churn_medios_chicos,1,$B$2)*G15,0)</f>
        <v>4</v>
      </c>
    </row>
    <row r="17" customFormat="false" ht="15" hidden="false" customHeight="false" outlineLevel="0" collapsed="false">
      <c r="A17" s="0" t="s">
        <v>283</v>
      </c>
      <c r="C17" s="0" t="n">
        <f aca="false">C7*ROUND(INDEX(capt_medios_chicos,1,$B$2)*sens_captacion*(u_medios_chicos-C15),0)</f>
        <v>9</v>
      </c>
      <c r="D17" s="0" t="n">
        <f aca="false">D7*ROUND(INDEX(capt_medios_chicos,1,$B$2)*sens_captacion*(u_medios_chicos-D15),0)</f>
        <v>8</v>
      </c>
      <c r="E17" s="0" t="n">
        <f aca="false">E7*ROUND(INDEX(capt_medios_chicos,1,$B$2)*sens_captacion*(u_medios_chicos-E15),0)</f>
        <v>8</v>
      </c>
      <c r="F17" s="0" t="n">
        <f aca="false">F7*ROUND(INDEX(capt_medios_chicos,1,$B$2)*sens_captacion*(u_medios_chicos-F15),0)</f>
        <v>7</v>
      </c>
      <c r="G17" s="0" t="n">
        <f aca="false">G7*ROUND(INDEX(capt_medios_chicos,1,$B$2)*sens_captacion*(u_medios_chicos-G15),0)</f>
        <v>7</v>
      </c>
    </row>
    <row r="18" customFormat="false" ht="15" hidden="false" customHeight="false" outlineLevel="0" collapsed="false">
      <c r="A18" s="0" t="s">
        <v>284</v>
      </c>
      <c r="C18" s="0" t="n">
        <f aca="false">C15+C17-C16</f>
        <v>9</v>
      </c>
      <c r="D18" s="0" t="n">
        <f aca="false">D15+D17-D16</f>
        <v>16</v>
      </c>
      <c r="E18" s="0" t="n">
        <f aca="false">E15+E17-E16</f>
        <v>22</v>
      </c>
      <c r="F18" s="0" t="n">
        <f aca="false">F15+F17-F16</f>
        <v>26</v>
      </c>
      <c r="G18" s="0" t="n">
        <f aca="false">G15+G17-G16</f>
        <v>29</v>
      </c>
    </row>
    <row r="19" customFormat="false" ht="15" hidden="false" customHeight="false" outlineLevel="0" collapsed="false">
      <c r="A19" s="0" t="s">
        <v>285</v>
      </c>
      <c r="C19" s="0" t="n">
        <f aca="false">(C15+C18)/2</f>
        <v>4.5</v>
      </c>
      <c r="D19" s="0" t="n">
        <f aca="false">(D15+D18)/2</f>
        <v>12.5</v>
      </c>
      <c r="E19" s="0" t="n">
        <f aca="false">(E15+E18)/2</f>
        <v>19</v>
      </c>
      <c r="F19" s="0" t="n">
        <f aca="false">(F15+F18)/2</f>
        <v>24</v>
      </c>
      <c r="G19" s="0" t="n">
        <f aca="false">(G15+G18)/2</f>
        <v>27.5</v>
      </c>
    </row>
    <row r="20" customFormat="false" ht="15" hidden="false" customHeight="false" outlineLevel="0" collapsed="false">
      <c r="A20" s="0" t="s">
        <v>286</v>
      </c>
      <c r="C20" s="0" t="n">
        <f aca="false">N(B23)</f>
        <v>0</v>
      </c>
      <c r="D20" s="0" t="n">
        <f aca="false">N(C23)</f>
        <v>1</v>
      </c>
      <c r="E20" s="0" t="n">
        <f aca="false">N(D23)</f>
        <v>2</v>
      </c>
      <c r="F20" s="0" t="n">
        <f aca="false">N(E23)</f>
        <v>2</v>
      </c>
      <c r="G20" s="0" t="n">
        <f aca="false">N(F23)</f>
        <v>2</v>
      </c>
    </row>
    <row r="21" customFormat="false" ht="15" hidden="false" customHeight="false" outlineLevel="0" collapsed="false">
      <c r="A21" s="0" t="s">
        <v>287</v>
      </c>
      <c r="C21" s="0" t="n">
        <f aca="false">ROUND(INDEX(churn_verificadores,1,$B$2)*C20,0)</f>
        <v>0</v>
      </c>
      <c r="D21" s="0" t="n">
        <f aca="false">ROUND(INDEX(churn_verificadores,1,$B$2)*D20,0)</f>
        <v>0</v>
      </c>
      <c r="E21" s="0" t="n">
        <f aca="false">ROUND(INDEX(churn_verificadores,1,$B$2)*E20,0)</f>
        <v>0</v>
      </c>
      <c r="F21" s="0" t="n">
        <f aca="false">ROUND(INDEX(churn_verificadores,1,$B$2)*F20,0)</f>
        <v>0</v>
      </c>
      <c r="G21" s="0" t="n">
        <f aca="false">ROUND(INDEX(churn_verificadores,1,$B$2)*G20,0)</f>
        <v>0</v>
      </c>
    </row>
    <row r="22" customFormat="false" ht="15" hidden="false" customHeight="false" outlineLevel="0" collapsed="false">
      <c r="A22" s="0" t="s">
        <v>288</v>
      </c>
      <c r="C22" s="0" t="n">
        <f aca="false">C7*ROUND(INDEX(capt_verificadores,1,$B$2)*sens_captacion*(u_verificadores-C20),0)</f>
        <v>1</v>
      </c>
      <c r="D22" s="0" t="n">
        <f aca="false">D7*ROUND(INDEX(capt_verificadores,1,$B$2)*sens_captacion*(u_verificadores-D20),0)</f>
        <v>1</v>
      </c>
      <c r="E22" s="0" t="n">
        <f aca="false">E7*ROUND(INDEX(capt_verificadores,1,$B$2)*sens_captacion*(u_verificadores-E20),0)</f>
        <v>0</v>
      </c>
      <c r="F22" s="0" t="n">
        <f aca="false">F7*ROUND(INDEX(capt_verificadores,1,$B$2)*sens_captacion*(u_verificadores-F20),0)</f>
        <v>0</v>
      </c>
      <c r="G22" s="0" t="n">
        <f aca="false">G7*ROUND(INDEX(capt_verificadores,1,$B$2)*sens_captacion*(u_verificadores-G20),0)</f>
        <v>0</v>
      </c>
    </row>
    <row r="23" customFormat="false" ht="15" hidden="false" customHeight="false" outlineLevel="0" collapsed="false">
      <c r="A23" s="0" t="s">
        <v>289</v>
      </c>
      <c r="C23" s="0" t="n">
        <f aca="false">C20+C22-C21</f>
        <v>1</v>
      </c>
      <c r="D23" s="0" t="n">
        <f aca="false">D20+D22-D21</f>
        <v>2</v>
      </c>
      <c r="E23" s="0" t="n">
        <f aca="false">E20+E22-E21</f>
        <v>2</v>
      </c>
      <c r="F23" s="0" t="n">
        <f aca="false">F20+F22-F21</f>
        <v>2</v>
      </c>
      <c r="G23" s="0" t="n">
        <f aca="false">G20+G22-G21</f>
        <v>2</v>
      </c>
    </row>
    <row r="24" customFormat="false" ht="15" hidden="false" customHeight="false" outlineLevel="0" collapsed="false">
      <c r="A24" s="0" t="s">
        <v>290</v>
      </c>
      <c r="C24" s="0" t="n">
        <f aca="false">(C20+C23)/2</f>
        <v>0.5</v>
      </c>
      <c r="D24" s="0" t="n">
        <f aca="false">(D20+D23)/2</f>
        <v>1.5</v>
      </c>
      <c r="E24" s="0" t="n">
        <f aca="false">(E20+E23)/2</f>
        <v>2</v>
      </c>
      <c r="F24" s="0" t="n">
        <f aca="false">(F20+F23)/2</f>
        <v>2</v>
      </c>
      <c r="G24" s="0" t="n">
        <f aca="false">(G20+G23)/2</f>
        <v>2</v>
      </c>
    </row>
    <row r="25" customFormat="false" ht="15" hidden="false" customHeight="false" outlineLevel="0" collapsed="false">
      <c r="A25" s="0" t="s">
        <v>291</v>
      </c>
      <c r="C25" s="0" t="n">
        <f aca="false">N(B28)</f>
        <v>0</v>
      </c>
      <c r="D25" s="0" t="n">
        <f aca="false">N(C28)</f>
        <v>12</v>
      </c>
      <c r="E25" s="0" t="n">
        <f aca="false">N(D28)</f>
        <v>22</v>
      </c>
      <c r="F25" s="0" t="n">
        <f aca="false">N(E28)</f>
        <v>31</v>
      </c>
      <c r="G25" s="0" t="n">
        <f aca="false">N(F28)</f>
        <v>38</v>
      </c>
    </row>
    <row r="26" customFormat="false" ht="15" hidden="false" customHeight="false" outlineLevel="0" collapsed="false">
      <c r="A26" s="0" t="s">
        <v>292</v>
      </c>
      <c r="C26" s="0" t="n">
        <f aca="false">ROUND(INDEX(churn_universidades,1,$B$2)*C25,0)</f>
        <v>0</v>
      </c>
      <c r="D26" s="0" t="n">
        <f aca="false">ROUND(INDEX(churn_universidades,1,$B$2)*D25,0)</f>
        <v>1</v>
      </c>
      <c r="E26" s="0" t="n">
        <f aca="false">ROUND(INDEX(churn_universidades,1,$B$2)*E25,0)</f>
        <v>1</v>
      </c>
      <c r="F26" s="0" t="n">
        <f aca="false">ROUND(INDEX(churn_universidades,1,$B$2)*F25,0)</f>
        <v>2</v>
      </c>
      <c r="G26" s="0" t="n">
        <f aca="false">ROUND(INDEX(churn_universidades,1,$B$2)*G25,0)</f>
        <v>2</v>
      </c>
    </row>
    <row r="27" customFormat="false" ht="15" hidden="false" customHeight="false" outlineLevel="0" collapsed="false">
      <c r="A27" s="0" t="s">
        <v>293</v>
      </c>
      <c r="C27" s="0" t="n">
        <f aca="false">C7*ROUND(INDEX(capt_universidades,1,$B$2)*sens_captacion*(u_universidades-C25),0)</f>
        <v>12</v>
      </c>
      <c r="D27" s="0" t="n">
        <f aca="false">D7*ROUND(INDEX(capt_universidades,1,$B$2)*sens_captacion*(u_universidades-D25),0)</f>
        <v>11</v>
      </c>
      <c r="E27" s="0" t="n">
        <f aca="false">E7*ROUND(INDEX(capt_universidades,1,$B$2)*sens_captacion*(u_universidades-E25),0)</f>
        <v>10</v>
      </c>
      <c r="F27" s="0" t="n">
        <f aca="false">F7*ROUND(INDEX(capt_universidades,1,$B$2)*sens_captacion*(u_universidades-F25),0)</f>
        <v>9</v>
      </c>
      <c r="G27" s="0" t="n">
        <f aca="false">G7*ROUND(INDEX(capt_universidades,1,$B$2)*sens_captacion*(u_universidades-G25),0)</f>
        <v>9</v>
      </c>
    </row>
    <row r="28" customFormat="false" ht="15" hidden="false" customHeight="false" outlineLevel="0" collapsed="false">
      <c r="A28" s="0" t="s">
        <v>294</v>
      </c>
      <c r="C28" s="0" t="n">
        <f aca="false">C25+C27-C26</f>
        <v>12</v>
      </c>
      <c r="D28" s="0" t="n">
        <f aca="false">D25+D27-D26</f>
        <v>22</v>
      </c>
      <c r="E28" s="0" t="n">
        <f aca="false">E25+E27-E26</f>
        <v>31</v>
      </c>
      <c r="F28" s="0" t="n">
        <f aca="false">F25+F27-F26</f>
        <v>38</v>
      </c>
      <c r="G28" s="0" t="n">
        <f aca="false">G25+G27-G26</f>
        <v>45</v>
      </c>
    </row>
    <row r="29" customFormat="false" ht="15" hidden="false" customHeight="false" outlineLevel="0" collapsed="false">
      <c r="A29" s="0" t="s">
        <v>295</v>
      </c>
      <c r="C29" s="0" t="n">
        <f aca="false">(C25+C28)/2</f>
        <v>6</v>
      </c>
      <c r="D29" s="0" t="n">
        <f aca="false">(D25+D28)/2</f>
        <v>17</v>
      </c>
      <c r="E29" s="0" t="n">
        <f aca="false">(E25+E28)/2</f>
        <v>26.5</v>
      </c>
      <c r="F29" s="0" t="n">
        <f aca="false">(F25+F28)/2</f>
        <v>34.5</v>
      </c>
      <c r="G29" s="0" t="n">
        <f aca="false">(G25+G28)/2</f>
        <v>41.5</v>
      </c>
    </row>
    <row r="30" customFormat="false" ht="15" hidden="false" customHeight="false" outlineLevel="0" collapsed="false">
      <c r="A30" s="0" t="s">
        <v>296</v>
      </c>
      <c r="C30" s="0" t="n">
        <f aca="false">N(B33)</f>
        <v>0</v>
      </c>
      <c r="D30" s="0" t="n">
        <f aca="false">N(C33)</f>
        <v>6</v>
      </c>
      <c r="E30" s="0" t="n">
        <f aca="false">N(D33)</f>
        <v>11</v>
      </c>
      <c r="F30" s="0" t="n">
        <f aca="false">N(E33)</f>
        <v>14</v>
      </c>
      <c r="G30" s="0" t="n">
        <f aca="false">N(F33)</f>
        <v>17</v>
      </c>
    </row>
    <row r="31" customFormat="false" ht="15" hidden="false" customHeight="false" outlineLevel="0" collapsed="false">
      <c r="A31" s="0" t="s">
        <v>297</v>
      </c>
      <c r="C31" s="0" t="n">
        <f aca="false">ROUND(INDEX(churn_agencias,1,$B$2)*C30,0)</f>
        <v>0</v>
      </c>
      <c r="D31" s="0" t="n">
        <f aca="false">ROUND(INDEX(churn_agencias,1,$B$2)*D30,0)</f>
        <v>1</v>
      </c>
      <c r="E31" s="0" t="n">
        <f aca="false">ROUND(INDEX(churn_agencias,1,$B$2)*E30,0)</f>
        <v>2</v>
      </c>
      <c r="F31" s="0" t="n">
        <f aca="false">ROUND(INDEX(churn_agencias,1,$B$2)*F30,0)</f>
        <v>2</v>
      </c>
      <c r="G31" s="0" t="n">
        <f aca="false">ROUND(INDEX(churn_agencias,1,$B$2)*G30,0)</f>
        <v>3</v>
      </c>
    </row>
    <row r="32" customFormat="false" ht="15" hidden="false" customHeight="false" outlineLevel="0" collapsed="false">
      <c r="A32" s="0" t="s">
        <v>298</v>
      </c>
      <c r="C32" s="0" t="n">
        <f aca="false">C7*ROUND(INDEX(capt_agencias,1,$B$2)*sens_captacion*(u_agencias-C30),0)</f>
        <v>6</v>
      </c>
      <c r="D32" s="0" t="n">
        <f aca="false">D7*ROUND(INDEX(capt_agencias,1,$B$2)*sens_captacion*(u_agencias-D30),0)</f>
        <v>6</v>
      </c>
      <c r="E32" s="0" t="n">
        <f aca="false">E7*ROUND(INDEX(capt_agencias,1,$B$2)*sens_captacion*(u_agencias-E30),0)</f>
        <v>5</v>
      </c>
      <c r="F32" s="0" t="n">
        <f aca="false">F7*ROUND(INDEX(capt_agencias,1,$B$2)*sens_captacion*(u_agencias-F30),0)</f>
        <v>5</v>
      </c>
      <c r="G32" s="0" t="n">
        <f aca="false">G7*ROUND(INDEX(capt_agencias,1,$B$2)*sens_captacion*(u_agencias-G30),0)</f>
        <v>5</v>
      </c>
    </row>
    <row r="33" customFormat="false" ht="15" hidden="false" customHeight="false" outlineLevel="0" collapsed="false">
      <c r="A33" s="0" t="s">
        <v>299</v>
      </c>
      <c r="C33" s="0" t="n">
        <f aca="false">C30+C32-C31</f>
        <v>6</v>
      </c>
      <c r="D33" s="0" t="n">
        <f aca="false">D30+D32-D31</f>
        <v>11</v>
      </c>
      <c r="E33" s="0" t="n">
        <f aca="false">E30+E32-E31</f>
        <v>14</v>
      </c>
      <c r="F33" s="0" t="n">
        <f aca="false">F30+F32-F31</f>
        <v>17</v>
      </c>
      <c r="G33" s="0" t="n">
        <f aca="false">G30+G32-G31</f>
        <v>19</v>
      </c>
    </row>
    <row r="34" customFormat="false" ht="15" hidden="false" customHeight="false" outlineLevel="0" collapsed="false">
      <c r="A34" s="0" t="s">
        <v>300</v>
      </c>
      <c r="C34" s="0" t="n">
        <f aca="false">(C30+C33)/2</f>
        <v>3</v>
      </c>
      <c r="D34" s="0" t="n">
        <f aca="false">(D30+D33)/2</f>
        <v>8.5</v>
      </c>
      <c r="E34" s="0" t="n">
        <f aca="false">(E30+E33)/2</f>
        <v>12.5</v>
      </c>
      <c r="F34" s="0" t="n">
        <f aca="false">(F30+F33)/2</f>
        <v>15.5</v>
      </c>
      <c r="G34" s="0" t="n">
        <f aca="false">(G30+G33)/2</f>
        <v>18</v>
      </c>
    </row>
    <row r="35" customFormat="false" ht="15" hidden="false" customHeight="false" outlineLevel="0" collapsed="false">
      <c r="A35" s="0" t="s">
        <v>301</v>
      </c>
      <c r="C35" s="0" t="n">
        <f aca="false">C5*C7*ROUND(INDEX(capt_organismos,1,$B$2)*sens_captacion*u_organismos,0)</f>
        <v>3</v>
      </c>
      <c r="D35" s="0" t="n">
        <f aca="false">D5*D7*ROUND(INDEX(capt_organismos,1,$B$2)*sens_captacion*u_organismos,0)</f>
        <v>0</v>
      </c>
      <c r="E35" s="0" t="n">
        <f aca="false">E5*E7*ROUND(INDEX(capt_organismos,1,$B$2)*sens_captacion*u_organismos,0)</f>
        <v>3</v>
      </c>
      <c r="F35" s="0" t="n">
        <f aca="false">F5*F7*ROUND(INDEX(capt_organismos,1,$B$2)*sens_captacion*u_organismos,0)</f>
        <v>0</v>
      </c>
      <c r="G35" s="0" t="n">
        <f aca="false">G5*G7*ROUND(INDEX(capt_organismos,1,$B$2)*sens_captacion*u_organismos,0)</f>
        <v>3</v>
      </c>
    </row>
    <row r="36" customFormat="false" ht="15" hidden="false" customHeight="false" outlineLevel="0" collapsed="false">
      <c r="A36" s="0" t="s">
        <v>302</v>
      </c>
      <c r="C36" s="0" t="n">
        <f aca="false">C14+C19+C24+C29+C34+C35</f>
        <v>18</v>
      </c>
      <c r="D36" s="0" t="n">
        <f aca="false">D14+D19+D24+D29+D34+D35</f>
        <v>42.5</v>
      </c>
      <c r="E36" s="0" t="n">
        <f aca="false">E14+E19+E24+E29+E34+E35</f>
        <v>67.5</v>
      </c>
      <c r="F36" s="0" t="n">
        <f aca="false">F14+F19+F24+F29+F34+F35</f>
        <v>81</v>
      </c>
      <c r="G36" s="0" t="n">
        <f aca="false">G14+G19+G24+G29+G34+G35</f>
        <v>97</v>
      </c>
    </row>
    <row r="38" customFormat="false" ht="15" hidden="false" customHeight="false" outlineLevel="0" collapsed="false">
      <c r="A38" s="1" t="s">
        <v>303</v>
      </c>
    </row>
    <row r="39" customFormat="false" ht="15" hidden="false" customHeight="false" outlineLevel="0" collapsed="false">
      <c r="A39" s="0" t="s">
        <v>304</v>
      </c>
      <c r="C39" s="0" t="n">
        <f aca="false">C14*INDEX(precio_medios_grandes,1,$B$2)*sens_precios*meses_anio</f>
        <v>36000</v>
      </c>
      <c r="D39" s="0" t="n">
        <f aca="false">D14*INDEX(precio_medios_grandes,1,$B$2)*sens_precios*meses_anio</f>
        <v>108000</v>
      </c>
      <c r="E39" s="0" t="n">
        <f aca="false">E14*INDEX(precio_medios_grandes,1,$B$2)*sens_precios*meses_anio</f>
        <v>162000</v>
      </c>
      <c r="F39" s="0" t="n">
        <f aca="false">F14*INDEX(precio_medios_grandes,1,$B$2)*sens_precios*meses_anio</f>
        <v>180000</v>
      </c>
      <c r="G39" s="0" t="n">
        <f aca="false">G14*INDEX(precio_medios_grandes,1,$B$2)*sens_precios*meses_anio</f>
        <v>180000</v>
      </c>
    </row>
    <row r="40" customFormat="false" ht="15" hidden="false" customHeight="false" outlineLevel="0" collapsed="false">
      <c r="A40" s="0" t="s">
        <v>305</v>
      </c>
      <c r="C40" s="0" t="n">
        <f aca="false">C19*precio_medios_chicos*sens_precios*meses_anio</f>
        <v>10800</v>
      </c>
      <c r="D40" s="0" t="n">
        <f aca="false">D19*precio_medios_chicos*sens_precios*meses_anio</f>
        <v>30000</v>
      </c>
      <c r="E40" s="0" t="n">
        <f aca="false">E19*precio_medios_chicos*sens_precios*meses_anio</f>
        <v>45600</v>
      </c>
      <c r="F40" s="0" t="n">
        <f aca="false">F19*precio_medios_chicos*sens_precios*meses_anio</f>
        <v>57600</v>
      </c>
      <c r="G40" s="0" t="n">
        <f aca="false">G19*precio_medios_chicos*sens_precios*meses_anio</f>
        <v>66000</v>
      </c>
    </row>
    <row r="41" customFormat="false" ht="15" hidden="false" customHeight="false" outlineLevel="0" collapsed="false">
      <c r="A41" s="0" t="s">
        <v>306</v>
      </c>
      <c r="C41" s="0" t="n">
        <f aca="false">C24*precio_verificadores*sens_precios*meses_anio</f>
        <v>3000</v>
      </c>
      <c r="D41" s="0" t="n">
        <f aca="false">D24*precio_verificadores*sens_precios*meses_anio</f>
        <v>9000</v>
      </c>
      <c r="E41" s="0" t="n">
        <f aca="false">E24*precio_verificadores*sens_precios*meses_anio</f>
        <v>12000</v>
      </c>
      <c r="F41" s="0" t="n">
        <f aca="false">F24*precio_verificadores*sens_precios*meses_anio</f>
        <v>12000</v>
      </c>
      <c r="G41" s="0" t="n">
        <f aca="false">G24*precio_verificadores*sens_precios*meses_anio</f>
        <v>12000</v>
      </c>
    </row>
    <row r="42" customFormat="false" ht="15" hidden="false" customHeight="false" outlineLevel="0" collapsed="false">
      <c r="A42" s="0" t="s">
        <v>307</v>
      </c>
      <c r="C42" s="0" t="n">
        <f aca="false">C29*precio_universidades*sens_precios*meses_anio</f>
        <v>7200</v>
      </c>
      <c r="D42" s="0" t="n">
        <f aca="false">D29*precio_universidades*sens_precios*meses_anio</f>
        <v>20400</v>
      </c>
      <c r="E42" s="0" t="n">
        <f aca="false">E29*precio_universidades*sens_precios*meses_anio</f>
        <v>31800</v>
      </c>
      <c r="F42" s="0" t="n">
        <f aca="false">F29*precio_universidades*sens_precios*meses_anio</f>
        <v>41400</v>
      </c>
      <c r="G42" s="0" t="n">
        <f aca="false">G29*precio_universidades*sens_precios*meses_anio</f>
        <v>49800</v>
      </c>
    </row>
    <row r="43" customFormat="false" ht="15" hidden="false" customHeight="false" outlineLevel="0" collapsed="false">
      <c r="A43" s="0" t="s">
        <v>308</v>
      </c>
      <c r="C43" s="0" t="n">
        <f aca="false">C34*INDEX(precio_agencias,1,$B$2)*sens_precios*meses_anio</f>
        <v>108000</v>
      </c>
      <c r="D43" s="0" t="n">
        <f aca="false">D34*INDEX(precio_agencias,1,$B$2)*sens_precios*meses_anio</f>
        <v>306000</v>
      </c>
      <c r="E43" s="0" t="n">
        <f aca="false">E34*INDEX(precio_agencias,1,$B$2)*sens_precios*meses_anio</f>
        <v>450000</v>
      </c>
      <c r="F43" s="0" t="n">
        <f aca="false">F34*INDEX(precio_agencias,1,$B$2)*sens_precios*meses_anio</f>
        <v>558000</v>
      </c>
      <c r="G43" s="0" t="n">
        <f aca="false">G34*INDEX(precio_agencias,1,$B$2)*sens_precios*meses_anio</f>
        <v>648000</v>
      </c>
    </row>
    <row r="44" customFormat="false" ht="15" hidden="false" customHeight="false" outlineLevel="0" collapsed="false">
      <c r="A44" s="0" t="s">
        <v>309</v>
      </c>
      <c r="C44" s="0" t="n">
        <f aca="false">C35*INDEX(precio_organismos,1,$B$2)*sens_precios</f>
        <v>90000</v>
      </c>
      <c r="D44" s="0" t="n">
        <f aca="false">D35*INDEX(precio_organismos,1,$B$2)*sens_precios</f>
        <v>0</v>
      </c>
      <c r="E44" s="0" t="n">
        <f aca="false">E35*INDEX(precio_organismos,1,$B$2)*sens_precios</f>
        <v>90000</v>
      </c>
      <c r="F44" s="0" t="n">
        <f aca="false">F35*INDEX(precio_organismos,1,$B$2)*sens_precios</f>
        <v>0</v>
      </c>
      <c r="G44" s="0" t="n">
        <f aca="false">G35*INDEX(precio_organismos,1,$B$2)*sens_precios</f>
        <v>90000</v>
      </c>
    </row>
    <row r="45" customFormat="false" ht="15" hidden="false" customHeight="false" outlineLevel="0" collapsed="false">
      <c r="A45" s="0" t="s">
        <v>310</v>
      </c>
      <c r="B45" s="0" t="n">
        <f aca="false">SUM(B39:B44)</f>
        <v>0</v>
      </c>
      <c r="C45" s="0" t="n">
        <f aca="false">SUM(C39:C44)</f>
        <v>255000</v>
      </c>
      <c r="D45" s="0" t="n">
        <f aca="false">SUM(D39:D44)</f>
        <v>473400</v>
      </c>
      <c r="E45" s="0" t="n">
        <f aca="false">SUM(E39:E44)</f>
        <v>791400</v>
      </c>
      <c r="F45" s="0" t="n">
        <f aca="false">SUM(F39:F44)</f>
        <v>849000</v>
      </c>
      <c r="G45" s="0" t="n">
        <f aca="false">SUM(G39:G44)</f>
        <v>1045800</v>
      </c>
    </row>
    <row r="47" customFormat="false" ht="15" hidden="false" customHeight="false" outlineLevel="0" collapsed="false">
      <c r="A47" s="1" t="s">
        <v>311</v>
      </c>
    </row>
    <row r="48" customFormat="false" ht="15" hidden="false" customHeight="false" outlineLevel="0" collapsed="false">
      <c r="A48" s="0" t="s">
        <v>312</v>
      </c>
      <c r="C48" s="0" t="n">
        <f aca="false">sueldo_usd*sueldos_por_anio*(1+cargas_sociales)*(1+ajuste_sueldo)^C$3</f>
        <v>30786.21</v>
      </c>
      <c r="D48" s="0" t="n">
        <f aca="false">sueldo_usd*sueldos_por_anio*(1+cargas_sociales)*(1+ajuste_sueldo)^D$3</f>
        <v>32325.5205</v>
      </c>
      <c r="E48" s="0" t="n">
        <f aca="false">sueldo_usd*sueldos_por_anio*(1+cargas_sociales)*(1+ajuste_sueldo)^E$3</f>
        <v>33941.796525</v>
      </c>
      <c r="F48" s="0" t="n">
        <f aca="false">sueldo_usd*sueldos_por_anio*(1+cargas_sociales)*(1+ajuste_sueldo)^F$3</f>
        <v>35638.88635125</v>
      </c>
      <c r="G48" s="0" t="n">
        <f aca="false">sueldo_usd*sueldos_por_anio*(1+cargas_sociales)*(1+ajuste_sueldo)^G$3</f>
        <v>37420.8306688125</v>
      </c>
    </row>
    <row r="49" customFormat="false" ht="15" hidden="false" customHeight="false" outlineLevel="0" collapsed="false">
      <c r="A49" s="0" t="s">
        <v>313</v>
      </c>
      <c r="B49" s="0" t="n">
        <f aca="false">inv_infraestructura_0</f>
        <v>156</v>
      </c>
      <c r="C49" s="0" t="n">
        <f aca="false">meses_anio*(infra_base+infra_escalado*C6/ua_escalado)+dominio_anual</f>
        <v>305.5</v>
      </c>
      <c r="D49" s="0" t="n">
        <f aca="false">meses_anio*(infra_base+infra_escalado*D6/ua_escalado)+dominio_anual</f>
        <v>485.5</v>
      </c>
      <c r="E49" s="0" t="n">
        <f aca="false">meses_anio*(infra_base+infra_escalado*E6/ua_escalado)+dominio_anual</f>
        <v>845.5</v>
      </c>
      <c r="F49" s="0" t="n">
        <f aca="false">meses_anio*(infra_base+infra_escalado*F6/ua_escalado)+dominio_anual</f>
        <v>1445.5</v>
      </c>
      <c r="G49" s="0" t="n">
        <f aca="false">meses_anio*(infra_base+infra_escalado*G6/ua_escalado)+dominio_anual</f>
        <v>2045.5</v>
      </c>
    </row>
    <row r="50" customFormat="false" ht="15" hidden="false" customHeight="false" outlineLevel="0" collapsed="false">
      <c r="A50" s="0" t="s">
        <v>314</v>
      </c>
      <c r="C50" s="0" t="n">
        <f aca="false">INDEX(marketing,C$3,$B$2)</f>
        <v>6000</v>
      </c>
      <c r="D50" s="0" t="n">
        <f aca="false">INDEX(marketing,D$3,$B$2)</f>
        <v>9000</v>
      </c>
      <c r="E50" s="0" t="n">
        <f aca="false">INDEX(marketing,E$3,$B$2)</f>
        <v>12000</v>
      </c>
      <c r="F50" s="0" t="n">
        <f aca="false">INDEX(marketing,F$3,$B$2)</f>
        <v>15000</v>
      </c>
      <c r="G50" s="0" t="n">
        <f aca="false">INDEX(marketing,G$3,$B$2)</f>
        <v>18000</v>
      </c>
    </row>
    <row r="51" customFormat="false" ht="15" hidden="false" customHeight="false" outlineLevel="0" collapsed="false">
      <c r="A51" s="0" t="s">
        <v>315</v>
      </c>
      <c r="B51" s="0" t="n">
        <f aca="false">inv_dominio+inv_marca_inpi+inv_legal</f>
        <v>1558.5</v>
      </c>
    </row>
    <row r="52" customFormat="false" ht="15" hidden="false" customHeight="false" outlineLevel="0" collapsed="false">
      <c r="A52" s="0" t="s">
        <v>316</v>
      </c>
      <c r="C52" s="0" t="n">
        <f aca="false">C6*MIN(INDEX(analisis_por_ua_mes,1,$B$2),tope_mensual)*meses_anio*(1-INDEX(tasa_reuso,1,$B$2))*INDEX(costo_analisis,1,$B$2)*sens_costo_analisis</f>
        <v>2293.92</v>
      </c>
      <c r="D52" s="0" t="n">
        <f aca="false">D6*MIN(INDEX(analisis_por_ua_mes,1,$B$2),tope_mensual)*meses_anio*(1-INDEX(tasa_reuso,1,$B$2))*INDEX(costo_analisis,1,$B$2)*sens_costo_analisis</f>
        <v>9175.68</v>
      </c>
      <c r="E52" s="0" t="n">
        <f aca="false">E6*MIN(INDEX(analisis_por_ua_mes,1,$B$2),tope_mensual)*meses_anio*(1-INDEX(tasa_reuso,1,$B$2))*INDEX(costo_analisis,1,$B$2)*sens_costo_analisis</f>
        <v>22939.2</v>
      </c>
      <c r="F52" s="0" t="n">
        <f aca="false">F6*MIN(INDEX(analisis_por_ua_mes,1,$B$2),tope_mensual)*meses_anio*(1-INDEX(tasa_reuso,1,$B$2))*INDEX(costo_analisis,1,$B$2)*sens_costo_analisis</f>
        <v>45878.4</v>
      </c>
      <c r="G52" s="0" t="n">
        <f aca="false">G6*MIN(INDEX(analisis_por_ua_mes,1,$B$2),tope_mensual)*meses_anio*(1-INDEX(tasa_reuso,1,$B$2))*INDEX(costo_analisis,1,$B$2)*sens_costo_analisis</f>
        <v>68817.6</v>
      </c>
    </row>
    <row r="53" customFormat="false" ht="15" hidden="false" customHeight="false" outlineLevel="0" collapsed="false">
      <c r="A53" s="0" t="s">
        <v>317</v>
      </c>
      <c r="C53" s="0" t="n">
        <f aca="false">((C19+C24)*MIN(INDEX(consultas_pro_mes,1,$B$2),cuota_intermedia)+(C14+C34)*MIN(INDEX(consultas_ent_mes,1,$B$2),cuota_superior))*meses_anio*(1-INDEX(tasa_reuso,1,$B$2))*INDEX(costo_analisis,1,$B$2)*sens_costo_analisis</f>
        <v>8258.112</v>
      </c>
      <c r="D53" s="0" t="n">
        <f aca="false">((D19+D24)*MIN(INDEX(consultas_pro_mes,1,$B$2),cuota_intermedia)+(D14+D34)*MIN(INDEX(consultas_ent_mes,1,$B$2),cuota_superior))*meses_anio*(1-INDEX(tasa_reuso,1,$B$2))*INDEX(costo_analisis,1,$B$2)*sens_costo_analisis</f>
        <v>23673.2544</v>
      </c>
      <c r="E53" s="0" t="n">
        <f aca="false">((E19+E24)*MIN(INDEX(consultas_pro_mes,1,$B$2),cuota_intermedia)+(E14+E34)*MIN(INDEX(consultas_ent_mes,1,$B$2),cuota_superior))*meses_anio*(1-INDEX(tasa_reuso,1,$B$2))*INDEX(costo_analisis,1,$B$2)*sens_costo_analisis</f>
        <v>35051.0976</v>
      </c>
      <c r="F53" s="0" t="n">
        <f aca="false">((F19+F24)*MIN(INDEX(consultas_pro_mes,1,$B$2),cuota_intermedia)+(F14+F34)*MIN(INDEX(consultas_ent_mes,1,$B$2),cuota_superior))*meses_anio*(1-INDEX(tasa_reuso,1,$B$2))*INDEX(costo_analisis,1,$B$2)*sens_costo_analisis</f>
        <v>42391.6416</v>
      </c>
      <c r="G53" s="0" t="n">
        <f aca="false">((G19+G24)*MIN(INDEX(consultas_pro_mes,1,$B$2),cuota_intermedia)+(G14+G34)*MIN(INDEX(consultas_ent_mes,1,$B$2),cuota_superior))*meses_anio*(1-INDEX(tasa_reuso,1,$B$2))*INDEX(costo_analisis,1,$B$2)*sens_costo_analisis</f>
        <v>47621.7792</v>
      </c>
    </row>
    <row r="54" customFormat="false" ht="15" hidden="false" customHeight="false" outlineLevel="0" collapsed="false">
      <c r="A54" s="0" t="s">
        <v>318</v>
      </c>
      <c r="B54" s="0" t="n">
        <f aca="false">SUM(B48:B53)</f>
        <v>1714.5</v>
      </c>
      <c r="C54" s="0" t="n">
        <f aca="false">SUM(C48:C53)</f>
        <v>47643.742</v>
      </c>
      <c r="D54" s="0" t="n">
        <f aca="false">SUM(D48:D53)</f>
        <v>74659.9549</v>
      </c>
      <c r="E54" s="0" t="n">
        <f aca="false">SUM(E48:E53)</f>
        <v>104777.594125</v>
      </c>
      <c r="F54" s="0" t="n">
        <f aca="false">SUM(F48:F53)</f>
        <v>140354.42795125</v>
      </c>
      <c r="G54" s="0" t="n">
        <f aca="false">SUM(G48:G53)</f>
        <v>173905.709868813</v>
      </c>
    </row>
    <row r="56" customFormat="false" ht="15" hidden="false" customHeight="false" outlineLevel="0" collapsed="false">
      <c r="A56" s="1" t="s">
        <v>319</v>
      </c>
    </row>
    <row r="57" customFormat="false" ht="15" hidden="false" customHeight="false" outlineLevel="0" collapsed="false">
      <c r="A57" s="0" t="s">
        <v>320</v>
      </c>
      <c r="B57" s="0" t="n">
        <f aca="false">B45-B54</f>
        <v>-1714.5</v>
      </c>
      <c r="C57" s="0" t="n">
        <f aca="false">C45-C54</f>
        <v>207356.258</v>
      </c>
      <c r="D57" s="0" t="n">
        <f aca="false">D45-D54</f>
        <v>398740.0451</v>
      </c>
      <c r="E57" s="0" t="n">
        <f aca="false">E45-E54</f>
        <v>686622.405875</v>
      </c>
      <c r="F57" s="0" t="n">
        <f aca="false">F45-F54</f>
        <v>708645.57204875</v>
      </c>
      <c r="G57" s="0" t="n">
        <f aca="false">G45-G54</f>
        <v>871894.290131188</v>
      </c>
    </row>
    <row r="58" customFormat="false" ht="15" hidden="false" customHeight="false" outlineLevel="0" collapsed="false">
      <c r="A58" s="0" t="s">
        <v>321</v>
      </c>
      <c r="B58" s="0" t="n">
        <f aca="false">MIN(0,B57)</f>
        <v>-1714.5</v>
      </c>
      <c r="C58" s="0" t="n">
        <f aca="false">MIN(0,B58+C57)</f>
        <v>0</v>
      </c>
      <c r="D58" s="0" t="n">
        <f aca="false">MIN(0,C58+D57)</f>
        <v>0</v>
      </c>
      <c r="E58" s="0" t="n">
        <f aca="false">MIN(0,D58+E57)</f>
        <v>0</v>
      </c>
      <c r="F58" s="0" t="n">
        <f aca="false">MIN(0,E58+F57)</f>
        <v>0</v>
      </c>
      <c r="G58" s="0" t="n">
        <f aca="false">MIN(0,F58+G57)</f>
        <v>0</v>
      </c>
    </row>
    <row r="59" customFormat="false" ht="15" hidden="false" customHeight="false" outlineLevel="0" collapsed="false">
      <c r="A59" s="0" t="s">
        <v>322</v>
      </c>
      <c r="B59" s="0" t="n">
        <f aca="false">alicuota_ganancias*MAX(0,B57)</f>
        <v>0</v>
      </c>
      <c r="C59" s="0" t="n">
        <f aca="false">alicuota_ganancias*MAX(0,B58+C57)</f>
        <v>71974.6153</v>
      </c>
      <c r="D59" s="0" t="n">
        <f aca="false">alicuota_ganancias*MAX(0,C58+D57)</f>
        <v>139559.015785</v>
      </c>
      <c r="E59" s="0" t="n">
        <f aca="false">alicuota_ganancias*MAX(0,D58+E57)</f>
        <v>240317.84205625</v>
      </c>
      <c r="F59" s="0" t="n">
        <f aca="false">alicuota_ganancias*MAX(0,E58+F57)</f>
        <v>248025.950217063</v>
      </c>
      <c r="G59" s="0" t="n">
        <f aca="false">alicuota_ganancias*MAX(0,F58+G57)</f>
        <v>305163.001545916</v>
      </c>
    </row>
    <row r="60" customFormat="false" ht="15" hidden="false" customHeight="false" outlineLevel="0" collapsed="false">
      <c r="A60" s="0" t="s">
        <v>323</v>
      </c>
      <c r="B60" s="0" t="n">
        <f aca="false">meses_cobro/meses_anio*B45</f>
        <v>0</v>
      </c>
      <c r="C60" s="0" t="n">
        <f aca="false">meses_cobro/meses_anio*C45</f>
        <v>42500</v>
      </c>
      <c r="D60" s="0" t="n">
        <f aca="false">meses_cobro/meses_anio*D45</f>
        <v>78900</v>
      </c>
      <c r="E60" s="0" t="n">
        <f aca="false">meses_cobro/meses_anio*E45</f>
        <v>131900</v>
      </c>
      <c r="F60" s="0" t="n">
        <f aca="false">meses_cobro/meses_anio*F45</f>
        <v>141500</v>
      </c>
      <c r="G60" s="0" t="n">
        <f aca="false">meses_cobro/meses_anio*G45</f>
        <v>174300</v>
      </c>
    </row>
    <row r="61" customFormat="false" ht="15" hidden="false" customHeight="false" outlineLevel="0" collapsed="false">
      <c r="A61" s="0" t="s">
        <v>324</v>
      </c>
      <c r="B61" s="0" t="n">
        <f aca="false">B60</f>
        <v>0</v>
      </c>
      <c r="C61" s="0" t="n">
        <f aca="false">C60-B60</f>
        <v>42500</v>
      </c>
      <c r="D61" s="0" t="n">
        <f aca="false">D60-C60</f>
        <v>36400</v>
      </c>
      <c r="E61" s="0" t="n">
        <f aca="false">E60-D60</f>
        <v>53000</v>
      </c>
      <c r="F61" s="0" t="n">
        <f aca="false">F60-E60</f>
        <v>9600</v>
      </c>
      <c r="G61" s="0" t="n">
        <f aca="false">G60-F60</f>
        <v>32800</v>
      </c>
    </row>
    <row r="62" customFormat="false" ht="15" hidden="false" customHeight="false" outlineLevel="0" collapsed="false">
      <c r="A62" s="0" t="s">
        <v>325</v>
      </c>
      <c r="G62" s="0" t="n">
        <f aca="false">G60</f>
        <v>174300</v>
      </c>
    </row>
    <row r="64" customFormat="false" ht="15" hidden="false" customHeight="false" outlineLevel="0" collapsed="false">
      <c r="A64" s="1" t="s">
        <v>326</v>
      </c>
    </row>
    <row r="65" customFormat="false" ht="15" hidden="false" customHeight="false" outlineLevel="0" collapsed="false">
      <c r="A65" s="0" t="s">
        <v>327</v>
      </c>
      <c r="B65" s="0" t="n">
        <f aca="false">B57-B59-B61+N(B62)</f>
        <v>-1714.5</v>
      </c>
      <c r="C65" s="0" t="n">
        <f aca="false">C57-C59-C61+N(C62)</f>
        <v>92881.6427</v>
      </c>
      <c r="D65" s="0" t="n">
        <f aca="false">D57-D59-D61+N(D62)</f>
        <v>222781.029315</v>
      </c>
      <c r="E65" s="0" t="n">
        <f aca="false">E57-E59-E61+N(E62)</f>
        <v>393304.56381875</v>
      </c>
      <c r="F65" s="0" t="n">
        <f aca="false">F57-F59-F61+N(F62)</f>
        <v>451019.621831688</v>
      </c>
      <c r="G65" s="0" t="n">
        <f aca="false">G57-G59-G61+N(G62)</f>
        <v>708231.288585272</v>
      </c>
    </row>
    <row r="66" customFormat="false" ht="15" hidden="false" customHeight="false" outlineLevel="0" collapsed="false">
      <c r="A66" s="0" t="s">
        <v>328</v>
      </c>
      <c r="B66" s="0" t="n">
        <f aca="false">1/(1+tasa_descuento)^B$3</f>
        <v>1</v>
      </c>
      <c r="C66" s="0" t="n">
        <f aca="false">1/(1+tasa_descuento)^C$3</f>
        <v>0.8</v>
      </c>
      <c r="D66" s="0" t="n">
        <f aca="false">1/(1+tasa_descuento)^D$3</f>
        <v>0.64</v>
      </c>
      <c r="E66" s="0" t="n">
        <f aca="false">1/(1+tasa_descuento)^E$3</f>
        <v>0.512</v>
      </c>
      <c r="F66" s="0" t="n">
        <f aca="false">1/(1+tasa_descuento)^F$3</f>
        <v>0.4096</v>
      </c>
      <c r="G66" s="0" t="n">
        <f aca="false">1/(1+tasa_descuento)^G$3</f>
        <v>0.32768</v>
      </c>
    </row>
    <row r="67" customFormat="false" ht="15" hidden="false" customHeight="false" outlineLevel="0" collapsed="false">
      <c r="A67" s="0" t="s">
        <v>329</v>
      </c>
      <c r="B67" s="0" t="n">
        <f aca="false">B65*B66</f>
        <v>-1714.5</v>
      </c>
      <c r="C67" s="0" t="n">
        <f aca="false">C65*C66</f>
        <v>74305.31416</v>
      </c>
      <c r="D67" s="0" t="n">
        <f aca="false">D65*D66</f>
        <v>142579.8587616</v>
      </c>
      <c r="E67" s="0" t="n">
        <f aca="false">E65*E66</f>
        <v>201371.9366752</v>
      </c>
      <c r="F67" s="0" t="n">
        <f aca="false">F65*F66</f>
        <v>184737.637102259</v>
      </c>
      <c r="G67" s="0" t="n">
        <f aca="false">G65*G66</f>
        <v>232073.228643622</v>
      </c>
    </row>
    <row r="68" customFormat="false" ht="15" hidden="false" customHeight="false" outlineLevel="0" collapsed="false">
      <c r="A68" s="0" t="s">
        <v>330</v>
      </c>
      <c r="B68" s="0" t="n">
        <f aca="false">B65</f>
        <v>-1714.5</v>
      </c>
      <c r="C68" s="0" t="n">
        <f aca="false">B68+C65</f>
        <v>91167.1427</v>
      </c>
      <c r="D68" s="0" t="n">
        <f aca="false">C68+D65</f>
        <v>313948.172015</v>
      </c>
      <c r="E68" s="0" t="n">
        <f aca="false">D68+E65</f>
        <v>707252.73583375</v>
      </c>
      <c r="F68" s="0" t="n">
        <f aca="false">E68+F65</f>
        <v>1158272.35766544</v>
      </c>
      <c r="G68" s="0" t="n">
        <f aca="false">F68+G65</f>
        <v>1866503.64625071</v>
      </c>
    </row>
    <row r="69" customFormat="false" ht="15" hidden="false" customHeight="false" outlineLevel="0" collapsed="false">
      <c r="A69" s="0" t="s">
        <v>331</v>
      </c>
      <c r="B69" s="0" t="n">
        <f aca="false">B67</f>
        <v>-1714.5</v>
      </c>
      <c r="C69" s="0" t="n">
        <f aca="false">B69+C67</f>
        <v>72590.81416</v>
      </c>
      <c r="D69" s="0" t="n">
        <f aca="false">C69+D67</f>
        <v>215170.6729216</v>
      </c>
      <c r="E69" s="0" t="n">
        <f aca="false">D69+E67</f>
        <v>416542.6095968</v>
      </c>
      <c r="F69" s="0" t="n">
        <f aca="false">E69+F67</f>
        <v>601280.246699059</v>
      </c>
      <c r="G69" s="0" t="n">
        <f aca="false">F69+G67</f>
        <v>833353.475342681</v>
      </c>
    </row>
    <row r="70" customFormat="false" ht="15" hidden="false" customHeight="false" outlineLevel="0" collapsed="false">
      <c r="A70" s="0" t="s">
        <v>332</v>
      </c>
      <c r="C70" s="0" t="n">
        <f aca="false">IF(AND(B68&lt;0,C68&gt;=0),C$3-1+(-B68)/C65,"")</f>
        <v>0.0184589758553011</v>
      </c>
      <c r="D70" s="0" t="str">
        <f aca="false">IF(AND(C68&lt;0,D68&gt;=0),D$3-1+(-C68)/D65,"")</f>
        <v/>
      </c>
      <c r="E70" s="0" t="str">
        <f aca="false">IF(AND(D68&lt;0,E68&gt;=0),E$3-1+(-D68)/E65,"")</f>
        <v/>
      </c>
      <c r="F70" s="0" t="str">
        <f aca="false">IF(AND(E68&lt;0,F68&gt;=0),F$3-1+(-E68)/F65,"")</f>
        <v/>
      </c>
      <c r="G70" s="0" t="str">
        <f aca="false">IF(AND(F68&lt;0,G68&gt;=0),G$3-1+(-F68)/G65,"")</f>
        <v/>
      </c>
    </row>
    <row r="71" customFormat="false" ht="15" hidden="false" customHeight="false" outlineLevel="0" collapsed="false">
      <c r="A71" s="0" t="s">
        <v>333</v>
      </c>
      <c r="C71" s="0" t="n">
        <f aca="false">IF(AND(B69&lt;0,C69&gt;=0),C$3-1+(-B69)/C67,"")</f>
        <v>0.0230737198191263</v>
      </c>
      <c r="D71" s="0" t="str">
        <f aca="false">IF(AND(C69&lt;0,D69&gt;=0),D$3-1+(-C69)/D67,"")</f>
        <v/>
      </c>
      <c r="E71" s="0" t="str">
        <f aca="false">IF(AND(D69&lt;0,E69&gt;=0),E$3-1+(-D69)/E67,"")</f>
        <v/>
      </c>
      <c r="F71" s="0" t="str">
        <f aca="false">IF(AND(E69&lt;0,F69&gt;=0),F$3-1+(-E69)/F67,"")</f>
        <v/>
      </c>
      <c r="G71" s="0" t="str">
        <f aca="false">IF(AND(F69&lt;0,G69&gt;=0),G$3-1+(-F69)/G67,"")</f>
        <v/>
      </c>
    </row>
    <row r="73" customFormat="false" ht="15" hidden="false" customHeight="false" outlineLevel="0" collapsed="false">
      <c r="A73" s="1" t="s">
        <v>334</v>
      </c>
    </row>
    <row r="74" customFormat="false" ht="15" hidden="false" customHeight="false" outlineLevel="0" collapsed="false">
      <c r="A74" s="0" t="s">
        <v>236</v>
      </c>
      <c r="B74" s="0" t="n">
        <f aca="false">SUM(B67:G67)</f>
        <v>833353.475342681</v>
      </c>
    </row>
    <row r="75" customFormat="false" ht="15" hidden="false" customHeight="false" outlineLevel="0" collapsed="false">
      <c r="A75" s="0" t="s">
        <v>237</v>
      </c>
      <c r="B75" s="2" t="n">
        <f aca="false">IFERROR(IRR(B65:G65),"no definida")</f>
        <v>55.5453931939874</v>
      </c>
    </row>
    <row r="76" customFormat="false" ht="15" hidden="false" customHeight="false" outlineLevel="0" collapsed="false">
      <c r="A76" s="0" t="s">
        <v>238</v>
      </c>
      <c r="B76" s="0" t="n">
        <f aca="false">IF(COUNT(C70:G70)=0,"no se recupera",MIN(C70:G70))</f>
        <v>0.0184589758553011</v>
      </c>
    </row>
    <row r="77" customFormat="false" ht="15" hidden="false" customHeight="false" outlineLevel="0" collapsed="false">
      <c r="A77" s="0" t="s">
        <v>239</v>
      </c>
      <c r="B77" s="0" t="n">
        <f aca="false">IF(COUNT(C71:G71)=0,"no se recupera",MIN(C71:G71))</f>
        <v>0.0230737198191263</v>
      </c>
    </row>
    <row r="78" customFormat="false" ht="15" hidden="false" customHeight="false" outlineLevel="0" collapsed="false">
      <c r="A78" s="0" t="s">
        <v>242</v>
      </c>
      <c r="B78" s="0" t="n">
        <f aca="false">SUM(B67:G67)+MAX(0,G65-G62)*(1+crecimiento_perpetuo)/(tasa_descuento-crecimiento_perpetuo)/(1+tasa_descuento)^5</f>
        <v>1609256.85245787</v>
      </c>
    </row>
    <row r="79" customFormat="false" ht="15" hidden="false" customHeight="false" outlineLevel="0" collapsed="false">
      <c r="A79" s="0" t="s">
        <v>241</v>
      </c>
      <c r="B79" s="0" t="n">
        <f aca="false">IFERROR(G45/G36,"no definido")</f>
        <v>10781.4432989691</v>
      </c>
    </row>
    <row r="80" customFormat="false" ht="15" hidden="false" customHeight="false" outlineLevel="0" collapsed="false">
      <c r="A80" s="0" t="s">
        <v>240</v>
      </c>
      <c r="B80" s="0" t="n">
        <f aca="false">IFERROR(ROUNDUP(G54/B79,0),"no definido")</f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1" t="s">
        <v>335</v>
      </c>
    </row>
    <row r="2" customFormat="false" ht="15" hidden="false" customHeight="false" outlineLevel="0" collapsed="false">
      <c r="A2" s="0" t="s">
        <v>270</v>
      </c>
      <c r="B2" s="0" t="n">
        <v>2</v>
      </c>
    </row>
    <row r="3" customFormat="false" ht="15" hidden="false" customHeight="false" outlineLevel="0" collapsed="false">
      <c r="A3" s="0" t="s">
        <v>271</v>
      </c>
      <c r="B3" s="0" t="n">
        <f aca="false">COLUMN()-2</f>
        <v>0</v>
      </c>
      <c r="C3" s="0" t="n">
        <f aca="false">COLUMN()-2</f>
        <v>1</v>
      </c>
      <c r="D3" s="0" t="n">
        <f aca="false">COLUMN()-2</f>
        <v>2</v>
      </c>
      <c r="E3" s="0" t="n">
        <f aca="false">COLUMN()-2</f>
        <v>3</v>
      </c>
      <c r="F3" s="0" t="n">
        <f aca="false">COLUMN()-2</f>
        <v>4</v>
      </c>
      <c r="G3" s="0" t="n">
        <f aca="false">COLUMN()-2</f>
        <v>5</v>
      </c>
    </row>
    <row r="4" customFormat="false" ht="15" hidden="false" customHeight="false" outlineLevel="0" collapsed="false">
      <c r="A4" s="0" t="s">
        <v>272</v>
      </c>
      <c r="B4" s="0" t="n">
        <f aca="false">anio_0+B$3</f>
        <v>2026</v>
      </c>
      <c r="C4" s="0" t="n">
        <f aca="false">anio_0+C$3</f>
        <v>2027</v>
      </c>
      <c r="D4" s="0" t="n">
        <f aca="false">anio_0+D$3</f>
        <v>2028</v>
      </c>
      <c r="E4" s="0" t="n">
        <f aca="false">anio_0+E$3</f>
        <v>2029</v>
      </c>
      <c r="F4" s="0" t="n">
        <f aca="false">anio_0+F$3</f>
        <v>2030</v>
      </c>
      <c r="G4" s="0" t="n">
        <f aca="false">anio_0+G$3</f>
        <v>2031</v>
      </c>
    </row>
    <row r="5" customFormat="false" ht="15" hidden="false" customHeight="false" outlineLevel="0" collapsed="false">
      <c r="A5" s="0" t="s">
        <v>273</v>
      </c>
      <c r="B5" s="0" t="n">
        <f aca="false">INDEX(anio_electoral,B$3+1)</f>
        <v>0</v>
      </c>
      <c r="C5" s="0" t="n">
        <f aca="false">INDEX(anio_electoral,C$3+1)</f>
        <v>1</v>
      </c>
      <c r="D5" s="0" t="n">
        <f aca="false">INDEX(anio_electoral,D$3+1)</f>
        <v>0</v>
      </c>
      <c r="E5" s="0" t="n">
        <f aca="false">INDEX(anio_electoral,E$3+1)</f>
        <v>1</v>
      </c>
      <c r="F5" s="0" t="n">
        <f aca="false">INDEX(anio_electoral,F$3+1)</f>
        <v>0</v>
      </c>
      <c r="G5" s="0" t="n">
        <f aca="false">INDEX(anio_electoral,G$3+1)</f>
        <v>1</v>
      </c>
    </row>
    <row r="6" customFormat="false" ht="15" hidden="false" customHeight="false" outlineLevel="0" collapsed="false">
      <c r="A6" s="0" t="s">
        <v>274</v>
      </c>
      <c r="C6" s="0" t="n">
        <f aca="false">INDEX(usuarios_activos,C$3,$B$2)</f>
        <v>2000</v>
      </c>
      <c r="D6" s="0" t="n">
        <f aca="false">INDEX(usuarios_activos,D$3,$B$2)</f>
        <v>8000</v>
      </c>
      <c r="E6" s="0" t="n">
        <f aca="false">INDEX(usuarios_activos,E$3,$B$2)</f>
        <v>20000</v>
      </c>
      <c r="F6" s="0" t="n">
        <f aca="false">INDEX(usuarios_activos,F$3,$B$2)</f>
        <v>40000</v>
      </c>
      <c r="G6" s="0" t="n">
        <f aca="false">INDEX(usuarios_activos,G$3,$B$2)</f>
        <v>60000</v>
      </c>
    </row>
    <row r="7" customFormat="false" ht="15" hidden="false" customHeight="false" outlineLevel="0" collapsed="false">
      <c r="A7" s="0" t="s">
        <v>275</v>
      </c>
      <c r="C7" s="0" t="n">
        <f aca="false">IF(C6&gt;=ua_inicio_b2b,1,0)</f>
        <v>0</v>
      </c>
      <c r="D7" s="0" t="n">
        <f aca="false">IF(D6&gt;=ua_inicio_b2b,1,0)</f>
        <v>1</v>
      </c>
      <c r="E7" s="0" t="n">
        <f aca="false">IF(E6&gt;=ua_inicio_b2b,1,0)</f>
        <v>1</v>
      </c>
      <c r="F7" s="0" t="n">
        <f aca="false">IF(F6&gt;=ua_inicio_b2b,1,0)</f>
        <v>1</v>
      </c>
      <c r="G7" s="0" t="n">
        <f aca="false">IF(G6&gt;=ua_inicio_b2b,1,0)</f>
        <v>1</v>
      </c>
    </row>
    <row r="9" customFormat="false" ht="15" hidden="false" customHeight="false" outlineLevel="0" collapsed="false">
      <c r="A9" s="1" t="s">
        <v>165</v>
      </c>
    </row>
    <row r="10" customFormat="false" ht="15" hidden="false" customHeight="false" outlineLevel="0" collapsed="false">
      <c r="A10" s="0" t="s">
        <v>276</v>
      </c>
      <c r="C10" s="0" t="n">
        <f aca="false">N(B13)</f>
        <v>0</v>
      </c>
      <c r="D10" s="0" t="n">
        <f aca="false">N(C13)</f>
        <v>0</v>
      </c>
      <c r="E10" s="0" t="n">
        <f aca="false">N(D13)</f>
        <v>1</v>
      </c>
      <c r="F10" s="0" t="n">
        <f aca="false">N(E13)</f>
        <v>2</v>
      </c>
      <c r="G10" s="0" t="n">
        <f aca="false">N(F13)</f>
        <v>3</v>
      </c>
    </row>
    <row r="11" customFormat="false" ht="15" hidden="false" customHeight="false" outlineLevel="0" collapsed="false">
      <c r="A11" s="0" t="s">
        <v>277</v>
      </c>
      <c r="C11" s="0" t="n">
        <f aca="false">ROUND(INDEX(churn_medios_grandes,1,$B$2)*C10,0)</f>
        <v>0</v>
      </c>
      <c r="D11" s="0" t="n">
        <f aca="false">ROUND(INDEX(churn_medios_grandes,1,$B$2)*D10,0)</f>
        <v>0</v>
      </c>
      <c r="E11" s="0" t="n">
        <f aca="false">ROUND(INDEX(churn_medios_grandes,1,$B$2)*E10,0)</f>
        <v>0</v>
      </c>
      <c r="F11" s="0" t="n">
        <f aca="false">ROUND(INDEX(churn_medios_grandes,1,$B$2)*F10,0)</f>
        <v>0</v>
      </c>
      <c r="G11" s="0" t="n">
        <f aca="false">ROUND(INDEX(churn_medios_grandes,1,$B$2)*G10,0)</f>
        <v>0</v>
      </c>
    </row>
    <row r="12" customFormat="false" ht="15" hidden="false" customHeight="false" outlineLevel="0" collapsed="false">
      <c r="A12" s="0" t="s">
        <v>278</v>
      </c>
      <c r="C12" s="0" t="n">
        <f aca="false">C7*ROUND(INDEX(capt_medios_grandes,1,$B$2)*sens_captacion*(u_medios_grandes-C10),0)</f>
        <v>0</v>
      </c>
      <c r="D12" s="0" t="n">
        <f aca="false">D7*ROUND(INDEX(capt_medios_grandes,1,$B$2)*sens_captacion*(u_medios_grandes-D10),0)</f>
        <v>1</v>
      </c>
      <c r="E12" s="0" t="n">
        <f aca="false">E7*ROUND(INDEX(capt_medios_grandes,1,$B$2)*sens_captacion*(u_medios_grandes-E10),0)</f>
        <v>1</v>
      </c>
      <c r="F12" s="0" t="n">
        <f aca="false">F7*ROUND(INDEX(capt_medios_grandes,1,$B$2)*sens_captacion*(u_medios_grandes-F10),0)</f>
        <v>1</v>
      </c>
      <c r="G12" s="0" t="n">
        <f aca="false">G7*ROUND(INDEX(capt_medios_grandes,1,$B$2)*sens_captacion*(u_medios_grandes-G10),0)</f>
        <v>1</v>
      </c>
    </row>
    <row r="13" customFormat="false" ht="15" hidden="false" customHeight="false" outlineLevel="0" collapsed="false">
      <c r="A13" s="0" t="s">
        <v>279</v>
      </c>
      <c r="C13" s="0" t="n">
        <f aca="false">C10+C12-C11</f>
        <v>0</v>
      </c>
      <c r="D13" s="0" t="n">
        <f aca="false">D10+D12-D11</f>
        <v>1</v>
      </c>
      <c r="E13" s="0" t="n">
        <f aca="false">E10+E12-E11</f>
        <v>2</v>
      </c>
      <c r="F13" s="0" t="n">
        <f aca="false">F10+F12-F11</f>
        <v>3</v>
      </c>
      <c r="G13" s="0" t="n">
        <f aca="false">G10+G12-G11</f>
        <v>4</v>
      </c>
    </row>
    <row r="14" customFormat="false" ht="15" hidden="false" customHeight="false" outlineLevel="0" collapsed="false">
      <c r="A14" s="0" t="s">
        <v>280</v>
      </c>
      <c r="C14" s="0" t="n">
        <f aca="false">(C10+C13)/2</f>
        <v>0</v>
      </c>
      <c r="D14" s="0" t="n">
        <f aca="false">(D10+D13)/2</f>
        <v>0.5</v>
      </c>
      <c r="E14" s="0" t="n">
        <f aca="false">(E10+E13)/2</f>
        <v>1.5</v>
      </c>
      <c r="F14" s="0" t="n">
        <f aca="false">(F10+F13)/2</f>
        <v>2.5</v>
      </c>
      <c r="G14" s="0" t="n">
        <f aca="false">(G10+G13)/2</f>
        <v>3.5</v>
      </c>
    </row>
    <row r="15" customFormat="false" ht="15" hidden="false" customHeight="false" outlineLevel="0" collapsed="false">
      <c r="A15" s="0" t="s">
        <v>281</v>
      </c>
      <c r="C15" s="0" t="n">
        <f aca="false">N(B18)</f>
        <v>0</v>
      </c>
      <c r="D15" s="0" t="n">
        <f aca="false">N(C18)</f>
        <v>0</v>
      </c>
      <c r="E15" s="0" t="n">
        <f aca="false">N(D18)</f>
        <v>5</v>
      </c>
      <c r="F15" s="0" t="n">
        <f aca="false">N(E18)</f>
        <v>8</v>
      </c>
      <c r="G15" s="0" t="n">
        <f aca="false">N(F18)</f>
        <v>10</v>
      </c>
    </row>
    <row r="16" customFormat="false" ht="15" hidden="false" customHeight="false" outlineLevel="0" collapsed="false">
      <c r="A16" s="0" t="s">
        <v>282</v>
      </c>
      <c r="C16" s="0" t="n">
        <f aca="false">ROUND(INDEX(churn_medios_chicos,1,$B$2)*C15,0)</f>
        <v>0</v>
      </c>
      <c r="D16" s="0" t="n">
        <f aca="false">ROUND(INDEX(churn_medios_chicos,1,$B$2)*D15,0)</f>
        <v>0</v>
      </c>
      <c r="E16" s="0" t="n">
        <f aca="false">ROUND(INDEX(churn_medios_chicos,1,$B$2)*E15,0)</f>
        <v>1</v>
      </c>
      <c r="F16" s="0" t="n">
        <f aca="false">ROUND(INDEX(churn_medios_chicos,1,$B$2)*F15,0)</f>
        <v>2</v>
      </c>
      <c r="G16" s="0" t="n">
        <f aca="false">ROUND(INDEX(churn_medios_chicos,1,$B$2)*G15,0)</f>
        <v>2</v>
      </c>
    </row>
    <row r="17" customFormat="false" ht="15" hidden="false" customHeight="false" outlineLevel="0" collapsed="false">
      <c r="A17" s="0" t="s">
        <v>283</v>
      </c>
      <c r="C17" s="0" t="n">
        <f aca="false">C7*ROUND(INDEX(capt_medios_chicos,1,$B$2)*sens_captacion*(u_medios_chicos-C15),0)</f>
        <v>0</v>
      </c>
      <c r="D17" s="0" t="n">
        <f aca="false">D7*ROUND(INDEX(capt_medios_chicos,1,$B$2)*sens_captacion*(u_medios_chicos-D15),0)</f>
        <v>5</v>
      </c>
      <c r="E17" s="0" t="n">
        <f aca="false">E7*ROUND(INDEX(capt_medios_chicos,1,$B$2)*sens_captacion*(u_medios_chicos-E15),0)</f>
        <v>4</v>
      </c>
      <c r="F17" s="0" t="n">
        <f aca="false">F7*ROUND(INDEX(capt_medios_chicos,1,$B$2)*sens_captacion*(u_medios_chicos-F15),0)</f>
        <v>4</v>
      </c>
      <c r="G17" s="0" t="n">
        <f aca="false">G7*ROUND(INDEX(capt_medios_chicos,1,$B$2)*sens_captacion*(u_medios_chicos-G15),0)</f>
        <v>4</v>
      </c>
    </row>
    <row r="18" customFormat="false" ht="15" hidden="false" customHeight="false" outlineLevel="0" collapsed="false">
      <c r="A18" s="0" t="s">
        <v>284</v>
      </c>
      <c r="C18" s="0" t="n">
        <f aca="false">C15+C17-C16</f>
        <v>0</v>
      </c>
      <c r="D18" s="0" t="n">
        <f aca="false">D15+D17-D16</f>
        <v>5</v>
      </c>
      <c r="E18" s="0" t="n">
        <f aca="false">E15+E17-E16</f>
        <v>8</v>
      </c>
      <c r="F18" s="0" t="n">
        <f aca="false">F15+F17-F16</f>
        <v>10</v>
      </c>
      <c r="G18" s="0" t="n">
        <f aca="false">G15+G17-G16</f>
        <v>12</v>
      </c>
    </row>
    <row r="19" customFormat="false" ht="15" hidden="false" customHeight="false" outlineLevel="0" collapsed="false">
      <c r="A19" s="0" t="s">
        <v>285</v>
      </c>
      <c r="C19" s="0" t="n">
        <f aca="false">(C15+C18)/2</f>
        <v>0</v>
      </c>
      <c r="D19" s="0" t="n">
        <f aca="false">(D15+D18)/2</f>
        <v>2.5</v>
      </c>
      <c r="E19" s="0" t="n">
        <f aca="false">(E15+E18)/2</f>
        <v>6.5</v>
      </c>
      <c r="F19" s="0" t="n">
        <f aca="false">(F15+F18)/2</f>
        <v>9</v>
      </c>
      <c r="G19" s="0" t="n">
        <f aca="false">(G15+G18)/2</f>
        <v>11</v>
      </c>
    </row>
    <row r="20" customFormat="false" ht="15" hidden="false" customHeight="false" outlineLevel="0" collapsed="false">
      <c r="A20" s="0" t="s">
        <v>286</v>
      </c>
      <c r="C20" s="0" t="n">
        <f aca="false">N(B23)</f>
        <v>0</v>
      </c>
      <c r="D20" s="0" t="n">
        <f aca="false">N(C23)</f>
        <v>0</v>
      </c>
      <c r="E20" s="0" t="n">
        <f aca="false">N(D23)</f>
        <v>1</v>
      </c>
      <c r="F20" s="0" t="n">
        <f aca="false">N(E23)</f>
        <v>2</v>
      </c>
      <c r="G20" s="0" t="n">
        <f aca="false">N(F23)</f>
        <v>2</v>
      </c>
    </row>
    <row r="21" customFormat="false" ht="15" hidden="false" customHeight="false" outlineLevel="0" collapsed="false">
      <c r="A21" s="0" t="s">
        <v>287</v>
      </c>
      <c r="C21" s="0" t="n">
        <f aca="false">ROUND(INDEX(churn_verificadores,1,$B$2)*C20,0)</f>
        <v>0</v>
      </c>
      <c r="D21" s="0" t="n">
        <f aca="false">ROUND(INDEX(churn_verificadores,1,$B$2)*D20,0)</f>
        <v>0</v>
      </c>
      <c r="E21" s="0" t="n">
        <f aca="false">ROUND(INDEX(churn_verificadores,1,$B$2)*E20,0)</f>
        <v>0</v>
      </c>
      <c r="F21" s="0" t="n">
        <f aca="false">ROUND(INDEX(churn_verificadores,1,$B$2)*F20,0)</f>
        <v>0</v>
      </c>
      <c r="G21" s="0" t="n">
        <f aca="false">ROUND(INDEX(churn_verificadores,1,$B$2)*G20,0)</f>
        <v>0</v>
      </c>
    </row>
    <row r="22" customFormat="false" ht="15" hidden="false" customHeight="false" outlineLevel="0" collapsed="false">
      <c r="A22" s="0" t="s">
        <v>288</v>
      </c>
      <c r="C22" s="0" t="n">
        <f aca="false">C7*ROUND(INDEX(capt_verificadores,1,$B$2)*sens_captacion*(u_verificadores-C20),0)</f>
        <v>0</v>
      </c>
      <c r="D22" s="0" t="n">
        <f aca="false">D7*ROUND(INDEX(capt_verificadores,1,$B$2)*sens_captacion*(u_verificadores-D20),0)</f>
        <v>1</v>
      </c>
      <c r="E22" s="0" t="n">
        <f aca="false">E7*ROUND(INDEX(capt_verificadores,1,$B$2)*sens_captacion*(u_verificadores-E20),0)</f>
        <v>1</v>
      </c>
      <c r="F22" s="0" t="n">
        <f aca="false">F7*ROUND(INDEX(capt_verificadores,1,$B$2)*sens_captacion*(u_verificadores-F20),0)</f>
        <v>0</v>
      </c>
      <c r="G22" s="0" t="n">
        <f aca="false">G7*ROUND(INDEX(capt_verificadores,1,$B$2)*sens_captacion*(u_verificadores-G20),0)</f>
        <v>0</v>
      </c>
    </row>
    <row r="23" customFormat="false" ht="15" hidden="false" customHeight="false" outlineLevel="0" collapsed="false">
      <c r="A23" s="0" t="s">
        <v>289</v>
      </c>
      <c r="C23" s="0" t="n">
        <f aca="false">C20+C22-C21</f>
        <v>0</v>
      </c>
      <c r="D23" s="0" t="n">
        <f aca="false">D20+D22-D21</f>
        <v>1</v>
      </c>
      <c r="E23" s="0" t="n">
        <f aca="false">E20+E22-E21</f>
        <v>2</v>
      </c>
      <c r="F23" s="0" t="n">
        <f aca="false">F20+F22-F21</f>
        <v>2</v>
      </c>
      <c r="G23" s="0" t="n">
        <f aca="false">G20+G22-G21</f>
        <v>2</v>
      </c>
    </row>
    <row r="24" customFormat="false" ht="15" hidden="false" customHeight="false" outlineLevel="0" collapsed="false">
      <c r="A24" s="0" t="s">
        <v>290</v>
      </c>
      <c r="C24" s="0" t="n">
        <f aca="false">(C20+C23)/2</f>
        <v>0</v>
      </c>
      <c r="D24" s="0" t="n">
        <f aca="false">(D20+D23)/2</f>
        <v>0.5</v>
      </c>
      <c r="E24" s="0" t="n">
        <f aca="false">(E20+E23)/2</f>
        <v>1.5</v>
      </c>
      <c r="F24" s="0" t="n">
        <f aca="false">(F20+F23)/2</f>
        <v>2</v>
      </c>
      <c r="G24" s="0" t="n">
        <f aca="false">(G20+G23)/2</f>
        <v>2</v>
      </c>
    </row>
    <row r="25" customFormat="false" ht="15" hidden="false" customHeight="false" outlineLevel="0" collapsed="false">
      <c r="A25" s="0" t="s">
        <v>291</v>
      </c>
      <c r="C25" s="0" t="n">
        <f aca="false">N(B28)</f>
        <v>0</v>
      </c>
      <c r="D25" s="0" t="n">
        <f aca="false">N(C28)</f>
        <v>0</v>
      </c>
      <c r="E25" s="0" t="n">
        <f aca="false">N(D28)</f>
        <v>6</v>
      </c>
      <c r="F25" s="0" t="n">
        <f aca="false">N(E28)</f>
        <v>11</v>
      </c>
      <c r="G25" s="0" t="n">
        <f aca="false">N(F28)</f>
        <v>16</v>
      </c>
    </row>
    <row r="26" customFormat="false" ht="15" hidden="false" customHeight="false" outlineLevel="0" collapsed="false">
      <c r="A26" s="0" t="s">
        <v>292</v>
      </c>
      <c r="C26" s="0" t="n">
        <f aca="false">ROUND(INDEX(churn_universidades,1,$B$2)*C25,0)</f>
        <v>0</v>
      </c>
      <c r="D26" s="0" t="n">
        <f aca="false">ROUND(INDEX(churn_universidades,1,$B$2)*D25,0)</f>
        <v>0</v>
      </c>
      <c r="E26" s="0" t="n">
        <f aca="false">ROUND(INDEX(churn_universidades,1,$B$2)*E25,0)</f>
        <v>1</v>
      </c>
      <c r="F26" s="0" t="n">
        <f aca="false">ROUND(INDEX(churn_universidades,1,$B$2)*F25,0)</f>
        <v>1</v>
      </c>
      <c r="G26" s="0" t="n">
        <f aca="false">ROUND(INDEX(churn_universidades,1,$B$2)*G25,0)</f>
        <v>2</v>
      </c>
    </row>
    <row r="27" customFormat="false" ht="15" hidden="false" customHeight="false" outlineLevel="0" collapsed="false">
      <c r="A27" s="0" t="s">
        <v>293</v>
      </c>
      <c r="C27" s="0" t="n">
        <f aca="false">C7*ROUND(INDEX(capt_universidades,1,$B$2)*sens_captacion*(u_universidades-C25),0)</f>
        <v>0</v>
      </c>
      <c r="D27" s="0" t="n">
        <f aca="false">D7*ROUND(INDEX(capt_universidades,1,$B$2)*sens_captacion*(u_universidades-D25),0)</f>
        <v>6</v>
      </c>
      <c r="E27" s="0" t="n">
        <f aca="false">E7*ROUND(INDEX(capt_universidades,1,$B$2)*sens_captacion*(u_universidades-E25),0)</f>
        <v>6</v>
      </c>
      <c r="F27" s="0" t="n">
        <f aca="false">F7*ROUND(INDEX(capt_universidades,1,$B$2)*sens_captacion*(u_universidades-F25),0)</f>
        <v>6</v>
      </c>
      <c r="G27" s="0" t="n">
        <f aca="false">G7*ROUND(INDEX(capt_universidades,1,$B$2)*sens_captacion*(u_universidades-G25),0)</f>
        <v>5</v>
      </c>
    </row>
    <row r="28" customFormat="false" ht="15" hidden="false" customHeight="false" outlineLevel="0" collapsed="false">
      <c r="A28" s="0" t="s">
        <v>294</v>
      </c>
      <c r="C28" s="0" t="n">
        <f aca="false">C25+C27-C26</f>
        <v>0</v>
      </c>
      <c r="D28" s="0" t="n">
        <f aca="false">D25+D27-D26</f>
        <v>6</v>
      </c>
      <c r="E28" s="0" t="n">
        <f aca="false">E25+E27-E26</f>
        <v>11</v>
      </c>
      <c r="F28" s="0" t="n">
        <f aca="false">F25+F27-F26</f>
        <v>16</v>
      </c>
      <c r="G28" s="0" t="n">
        <f aca="false">G25+G27-G26</f>
        <v>19</v>
      </c>
    </row>
    <row r="29" customFormat="false" ht="15" hidden="false" customHeight="false" outlineLevel="0" collapsed="false">
      <c r="A29" s="0" t="s">
        <v>295</v>
      </c>
      <c r="C29" s="0" t="n">
        <f aca="false">(C25+C28)/2</f>
        <v>0</v>
      </c>
      <c r="D29" s="0" t="n">
        <f aca="false">(D25+D28)/2</f>
        <v>3</v>
      </c>
      <c r="E29" s="0" t="n">
        <f aca="false">(E25+E28)/2</f>
        <v>8.5</v>
      </c>
      <c r="F29" s="0" t="n">
        <f aca="false">(F25+F28)/2</f>
        <v>13.5</v>
      </c>
      <c r="G29" s="0" t="n">
        <f aca="false">(G25+G28)/2</f>
        <v>17.5</v>
      </c>
    </row>
    <row r="30" customFormat="false" ht="15" hidden="false" customHeight="false" outlineLevel="0" collapsed="false">
      <c r="A30" s="0" t="s">
        <v>296</v>
      </c>
      <c r="C30" s="0" t="n">
        <f aca="false">N(B33)</f>
        <v>0</v>
      </c>
      <c r="D30" s="0" t="n">
        <f aca="false">N(C33)</f>
        <v>0</v>
      </c>
      <c r="E30" s="0" t="n">
        <f aca="false">N(D33)</f>
        <v>2</v>
      </c>
      <c r="F30" s="0" t="n">
        <f aca="false">N(E33)</f>
        <v>4</v>
      </c>
      <c r="G30" s="0" t="n">
        <f aca="false">N(F33)</f>
        <v>5</v>
      </c>
    </row>
    <row r="31" customFormat="false" ht="15" hidden="false" customHeight="false" outlineLevel="0" collapsed="false">
      <c r="A31" s="0" t="s">
        <v>297</v>
      </c>
      <c r="C31" s="0" t="n">
        <f aca="false">ROUND(INDEX(churn_agencias,1,$B$2)*C30,0)</f>
        <v>0</v>
      </c>
      <c r="D31" s="0" t="n">
        <f aca="false">ROUND(INDEX(churn_agencias,1,$B$2)*D30,0)</f>
        <v>0</v>
      </c>
      <c r="E31" s="0" t="n">
        <f aca="false">ROUND(INDEX(churn_agencias,1,$B$2)*E30,0)</f>
        <v>0</v>
      </c>
      <c r="F31" s="0" t="n">
        <f aca="false">ROUND(INDEX(churn_agencias,1,$B$2)*F30,0)</f>
        <v>1</v>
      </c>
      <c r="G31" s="0" t="n">
        <f aca="false">ROUND(INDEX(churn_agencias,1,$B$2)*G30,0)</f>
        <v>1</v>
      </c>
    </row>
    <row r="32" customFormat="false" ht="15" hidden="false" customHeight="false" outlineLevel="0" collapsed="false">
      <c r="A32" s="0" t="s">
        <v>298</v>
      </c>
      <c r="C32" s="0" t="n">
        <f aca="false">C7*ROUND(INDEX(capt_agencias,1,$B$2)*sens_captacion*(u_agencias-C30),0)</f>
        <v>0</v>
      </c>
      <c r="D32" s="0" t="n">
        <f aca="false">D7*ROUND(INDEX(capt_agencias,1,$B$2)*sens_captacion*(u_agencias-D30),0)</f>
        <v>2</v>
      </c>
      <c r="E32" s="0" t="n">
        <f aca="false">E7*ROUND(INDEX(capt_agencias,1,$B$2)*sens_captacion*(u_agencias-E30),0)</f>
        <v>2</v>
      </c>
      <c r="F32" s="0" t="n">
        <f aca="false">F7*ROUND(INDEX(capt_agencias,1,$B$2)*sens_captacion*(u_agencias-F30),0)</f>
        <v>2</v>
      </c>
      <c r="G32" s="0" t="n">
        <f aca="false">G7*ROUND(INDEX(capt_agencias,1,$B$2)*sens_captacion*(u_agencias-G30),0)</f>
        <v>2</v>
      </c>
    </row>
    <row r="33" customFormat="false" ht="15" hidden="false" customHeight="false" outlineLevel="0" collapsed="false">
      <c r="A33" s="0" t="s">
        <v>299</v>
      </c>
      <c r="C33" s="0" t="n">
        <f aca="false">C30+C32-C31</f>
        <v>0</v>
      </c>
      <c r="D33" s="0" t="n">
        <f aca="false">D30+D32-D31</f>
        <v>2</v>
      </c>
      <c r="E33" s="0" t="n">
        <f aca="false">E30+E32-E31</f>
        <v>4</v>
      </c>
      <c r="F33" s="0" t="n">
        <f aca="false">F30+F32-F31</f>
        <v>5</v>
      </c>
      <c r="G33" s="0" t="n">
        <f aca="false">G30+G32-G31</f>
        <v>6</v>
      </c>
    </row>
    <row r="34" customFormat="false" ht="15" hidden="false" customHeight="false" outlineLevel="0" collapsed="false">
      <c r="A34" s="0" t="s">
        <v>300</v>
      </c>
      <c r="C34" s="0" t="n">
        <f aca="false">(C30+C33)/2</f>
        <v>0</v>
      </c>
      <c r="D34" s="0" t="n">
        <f aca="false">(D30+D33)/2</f>
        <v>1</v>
      </c>
      <c r="E34" s="0" t="n">
        <f aca="false">(E30+E33)/2</f>
        <v>3</v>
      </c>
      <c r="F34" s="0" t="n">
        <f aca="false">(F30+F33)/2</f>
        <v>4.5</v>
      </c>
      <c r="G34" s="0" t="n">
        <f aca="false">(G30+G33)/2</f>
        <v>5.5</v>
      </c>
    </row>
    <row r="35" customFormat="false" ht="15" hidden="false" customHeight="false" outlineLevel="0" collapsed="false">
      <c r="A35" s="0" t="s">
        <v>301</v>
      </c>
      <c r="C35" s="0" t="n">
        <f aca="false">C5*C7*ROUND(INDEX(capt_organismos,1,$B$2)*sens_captacion*u_organismos,0)</f>
        <v>0</v>
      </c>
      <c r="D35" s="0" t="n">
        <f aca="false">D5*D7*ROUND(INDEX(capt_organismos,1,$B$2)*sens_captacion*u_organismos,0)</f>
        <v>0</v>
      </c>
      <c r="E35" s="0" t="n">
        <f aca="false">E5*E7*ROUND(INDEX(capt_organismos,1,$B$2)*sens_captacion*u_organismos,0)</f>
        <v>2</v>
      </c>
      <c r="F35" s="0" t="n">
        <f aca="false">F5*F7*ROUND(INDEX(capt_organismos,1,$B$2)*sens_captacion*u_organismos,0)</f>
        <v>0</v>
      </c>
      <c r="G35" s="0" t="n">
        <f aca="false">G5*G7*ROUND(INDEX(capt_organismos,1,$B$2)*sens_captacion*u_organismos,0)</f>
        <v>2</v>
      </c>
    </row>
    <row r="36" customFormat="false" ht="15" hidden="false" customHeight="false" outlineLevel="0" collapsed="false">
      <c r="A36" s="0" t="s">
        <v>302</v>
      </c>
      <c r="C36" s="0" t="n">
        <f aca="false">C14+C19+C24+C29+C34+C35</f>
        <v>0</v>
      </c>
      <c r="D36" s="0" t="n">
        <f aca="false">D14+D19+D24+D29+D34+D35</f>
        <v>7.5</v>
      </c>
      <c r="E36" s="0" t="n">
        <f aca="false">E14+E19+E24+E29+E34+E35</f>
        <v>23</v>
      </c>
      <c r="F36" s="0" t="n">
        <f aca="false">F14+F19+F24+F29+F34+F35</f>
        <v>31.5</v>
      </c>
      <c r="G36" s="0" t="n">
        <f aca="false">G14+G19+G24+G29+G34+G35</f>
        <v>41.5</v>
      </c>
    </row>
    <row r="38" customFormat="false" ht="15" hidden="false" customHeight="false" outlineLevel="0" collapsed="false">
      <c r="A38" s="1" t="s">
        <v>303</v>
      </c>
    </row>
    <row r="39" customFormat="false" ht="15" hidden="false" customHeight="false" outlineLevel="0" collapsed="false">
      <c r="A39" s="0" t="s">
        <v>304</v>
      </c>
      <c r="C39" s="0" t="n">
        <f aca="false">C14*INDEX(precio_medios_grandes,1,$B$2)*sens_precios*meses_anio</f>
        <v>0</v>
      </c>
      <c r="D39" s="0" t="n">
        <f aca="false">D14*INDEX(precio_medios_grandes,1,$B$2)*sens_precios*meses_anio</f>
        <v>15000</v>
      </c>
      <c r="E39" s="0" t="n">
        <f aca="false">E14*INDEX(precio_medios_grandes,1,$B$2)*sens_precios*meses_anio</f>
        <v>45000</v>
      </c>
      <c r="F39" s="0" t="n">
        <f aca="false">F14*INDEX(precio_medios_grandes,1,$B$2)*sens_precios*meses_anio</f>
        <v>75000</v>
      </c>
      <c r="G39" s="0" t="n">
        <f aca="false">G14*INDEX(precio_medios_grandes,1,$B$2)*sens_precios*meses_anio</f>
        <v>105000</v>
      </c>
    </row>
    <row r="40" customFormat="false" ht="15" hidden="false" customHeight="false" outlineLevel="0" collapsed="false">
      <c r="A40" s="0" t="s">
        <v>305</v>
      </c>
      <c r="C40" s="0" t="n">
        <f aca="false">C19*precio_medios_chicos*sens_precios*meses_anio</f>
        <v>0</v>
      </c>
      <c r="D40" s="0" t="n">
        <f aca="false">D19*precio_medios_chicos*sens_precios*meses_anio</f>
        <v>6000</v>
      </c>
      <c r="E40" s="0" t="n">
        <f aca="false">E19*precio_medios_chicos*sens_precios*meses_anio</f>
        <v>15600</v>
      </c>
      <c r="F40" s="0" t="n">
        <f aca="false">F19*precio_medios_chicos*sens_precios*meses_anio</f>
        <v>21600</v>
      </c>
      <c r="G40" s="0" t="n">
        <f aca="false">G19*precio_medios_chicos*sens_precios*meses_anio</f>
        <v>26400</v>
      </c>
    </row>
    <row r="41" customFormat="false" ht="15" hidden="false" customHeight="false" outlineLevel="0" collapsed="false">
      <c r="A41" s="0" t="s">
        <v>306</v>
      </c>
      <c r="C41" s="0" t="n">
        <f aca="false">C24*precio_verificadores*sens_precios*meses_anio</f>
        <v>0</v>
      </c>
      <c r="D41" s="0" t="n">
        <f aca="false">D24*precio_verificadores*sens_precios*meses_anio</f>
        <v>3000</v>
      </c>
      <c r="E41" s="0" t="n">
        <f aca="false">E24*precio_verificadores*sens_precios*meses_anio</f>
        <v>9000</v>
      </c>
      <c r="F41" s="0" t="n">
        <f aca="false">F24*precio_verificadores*sens_precios*meses_anio</f>
        <v>12000</v>
      </c>
      <c r="G41" s="0" t="n">
        <f aca="false">G24*precio_verificadores*sens_precios*meses_anio</f>
        <v>12000</v>
      </c>
    </row>
    <row r="42" customFormat="false" ht="15" hidden="false" customHeight="false" outlineLevel="0" collapsed="false">
      <c r="A42" s="0" t="s">
        <v>307</v>
      </c>
      <c r="C42" s="0" t="n">
        <f aca="false">C29*precio_universidades*sens_precios*meses_anio</f>
        <v>0</v>
      </c>
      <c r="D42" s="0" t="n">
        <f aca="false">D29*precio_universidades*sens_precios*meses_anio</f>
        <v>3600</v>
      </c>
      <c r="E42" s="0" t="n">
        <f aca="false">E29*precio_universidades*sens_precios*meses_anio</f>
        <v>10200</v>
      </c>
      <c r="F42" s="0" t="n">
        <f aca="false">F29*precio_universidades*sens_precios*meses_anio</f>
        <v>16200</v>
      </c>
      <c r="G42" s="0" t="n">
        <f aca="false">G29*precio_universidades*sens_precios*meses_anio</f>
        <v>21000</v>
      </c>
    </row>
    <row r="43" customFormat="false" ht="15" hidden="false" customHeight="false" outlineLevel="0" collapsed="false">
      <c r="A43" s="0" t="s">
        <v>308</v>
      </c>
      <c r="C43" s="0" t="n">
        <f aca="false">C34*INDEX(precio_agencias,1,$B$2)*sens_precios*meses_anio</f>
        <v>0</v>
      </c>
      <c r="D43" s="0" t="n">
        <f aca="false">D34*INDEX(precio_agencias,1,$B$2)*sens_precios*meses_anio</f>
        <v>30000</v>
      </c>
      <c r="E43" s="0" t="n">
        <f aca="false">E34*INDEX(precio_agencias,1,$B$2)*sens_precios*meses_anio</f>
        <v>90000</v>
      </c>
      <c r="F43" s="0" t="n">
        <f aca="false">F34*INDEX(precio_agencias,1,$B$2)*sens_precios*meses_anio</f>
        <v>135000</v>
      </c>
      <c r="G43" s="0" t="n">
        <f aca="false">G34*INDEX(precio_agencias,1,$B$2)*sens_precios*meses_anio</f>
        <v>165000</v>
      </c>
    </row>
    <row r="44" customFormat="false" ht="15" hidden="false" customHeight="false" outlineLevel="0" collapsed="false">
      <c r="A44" s="0" t="s">
        <v>309</v>
      </c>
      <c r="C44" s="0" t="n">
        <f aca="false">C35*INDEX(precio_organismos,1,$B$2)*sens_precios</f>
        <v>0</v>
      </c>
      <c r="D44" s="0" t="n">
        <f aca="false">D35*INDEX(precio_organismos,1,$B$2)*sens_precios</f>
        <v>0</v>
      </c>
      <c r="E44" s="0" t="n">
        <f aca="false">E35*INDEX(precio_organismos,1,$B$2)*sens_precios</f>
        <v>40000</v>
      </c>
      <c r="F44" s="0" t="n">
        <f aca="false">F35*INDEX(precio_organismos,1,$B$2)*sens_precios</f>
        <v>0</v>
      </c>
      <c r="G44" s="0" t="n">
        <f aca="false">G35*INDEX(precio_organismos,1,$B$2)*sens_precios</f>
        <v>40000</v>
      </c>
    </row>
    <row r="45" customFormat="false" ht="15" hidden="false" customHeight="false" outlineLevel="0" collapsed="false">
      <c r="A45" s="0" t="s">
        <v>310</v>
      </c>
      <c r="B45" s="0" t="n">
        <f aca="false">SUM(B39:B44)</f>
        <v>0</v>
      </c>
      <c r="C45" s="0" t="n">
        <f aca="false">SUM(C39:C44)</f>
        <v>0</v>
      </c>
      <c r="D45" s="0" t="n">
        <f aca="false">SUM(D39:D44)</f>
        <v>57600</v>
      </c>
      <c r="E45" s="0" t="n">
        <f aca="false">SUM(E39:E44)</f>
        <v>209800</v>
      </c>
      <c r="F45" s="0" t="n">
        <f aca="false">SUM(F39:F44)</f>
        <v>259800</v>
      </c>
      <c r="G45" s="0" t="n">
        <f aca="false">SUM(G39:G44)</f>
        <v>369400</v>
      </c>
    </row>
    <row r="47" customFormat="false" ht="15" hidden="false" customHeight="false" outlineLevel="0" collapsed="false">
      <c r="A47" s="1" t="s">
        <v>311</v>
      </c>
    </row>
    <row r="48" customFormat="false" ht="15" hidden="false" customHeight="false" outlineLevel="0" collapsed="false">
      <c r="A48" s="0" t="s">
        <v>312</v>
      </c>
      <c r="C48" s="0" t="n">
        <f aca="false">sueldo_usd*sueldos_por_anio*(1+cargas_sociales)*(1+ajuste_sueldo)^C$3</f>
        <v>30786.21</v>
      </c>
      <c r="D48" s="0" t="n">
        <f aca="false">sueldo_usd*sueldos_por_anio*(1+cargas_sociales)*(1+ajuste_sueldo)^D$3</f>
        <v>32325.5205</v>
      </c>
      <c r="E48" s="0" t="n">
        <f aca="false">sueldo_usd*sueldos_por_anio*(1+cargas_sociales)*(1+ajuste_sueldo)^E$3</f>
        <v>33941.796525</v>
      </c>
      <c r="F48" s="0" t="n">
        <f aca="false">sueldo_usd*sueldos_por_anio*(1+cargas_sociales)*(1+ajuste_sueldo)^F$3</f>
        <v>35638.88635125</v>
      </c>
      <c r="G48" s="0" t="n">
        <f aca="false">sueldo_usd*sueldos_por_anio*(1+cargas_sociales)*(1+ajuste_sueldo)^G$3</f>
        <v>37420.8306688125</v>
      </c>
    </row>
    <row r="49" customFormat="false" ht="15" hidden="false" customHeight="false" outlineLevel="0" collapsed="false">
      <c r="A49" s="0" t="s">
        <v>313</v>
      </c>
      <c r="B49" s="0" t="n">
        <f aca="false">inv_infraestructura_0</f>
        <v>156</v>
      </c>
      <c r="C49" s="0" t="n">
        <f aca="false">meses_anio*(infra_base+infra_escalado*C6/ua_escalado)+dominio_anual</f>
        <v>269.5</v>
      </c>
      <c r="D49" s="0" t="n">
        <f aca="false">meses_anio*(infra_base+infra_escalado*D6/ua_escalado)+dominio_anual</f>
        <v>341.5</v>
      </c>
      <c r="E49" s="0" t="n">
        <f aca="false">meses_anio*(infra_base+infra_escalado*E6/ua_escalado)+dominio_anual</f>
        <v>485.5</v>
      </c>
      <c r="F49" s="0" t="n">
        <f aca="false">meses_anio*(infra_base+infra_escalado*F6/ua_escalado)+dominio_anual</f>
        <v>725.5</v>
      </c>
      <c r="G49" s="0" t="n">
        <f aca="false">meses_anio*(infra_base+infra_escalado*G6/ua_escalado)+dominio_anual</f>
        <v>965.5</v>
      </c>
    </row>
    <row r="50" customFormat="false" ht="15" hidden="false" customHeight="false" outlineLevel="0" collapsed="false">
      <c r="A50" s="0" t="s">
        <v>314</v>
      </c>
      <c r="C50" s="0" t="n">
        <f aca="false">INDEX(marketing,C$3,$B$2)</f>
        <v>4000</v>
      </c>
      <c r="D50" s="0" t="n">
        <f aca="false">INDEX(marketing,D$3,$B$2)</f>
        <v>6000</v>
      </c>
      <c r="E50" s="0" t="n">
        <f aca="false">INDEX(marketing,E$3,$B$2)</f>
        <v>8000</v>
      </c>
      <c r="F50" s="0" t="n">
        <f aca="false">INDEX(marketing,F$3,$B$2)</f>
        <v>10000</v>
      </c>
      <c r="G50" s="0" t="n">
        <f aca="false">INDEX(marketing,G$3,$B$2)</f>
        <v>12000</v>
      </c>
    </row>
    <row r="51" customFormat="false" ht="15" hidden="false" customHeight="false" outlineLevel="0" collapsed="false">
      <c r="A51" s="0" t="s">
        <v>315</v>
      </c>
      <c r="B51" s="0" t="n">
        <f aca="false">inv_dominio+inv_marca_inpi+inv_legal</f>
        <v>1558.5</v>
      </c>
    </row>
    <row r="52" customFormat="false" ht="15" hidden="false" customHeight="false" outlineLevel="0" collapsed="false">
      <c r="A52" s="0" t="s">
        <v>316</v>
      </c>
      <c r="C52" s="0" t="n">
        <f aca="false">C6*MIN(INDEX(analisis_por_ua_mes,1,$B$2),tope_mensual)*meses_anio*(1-INDEX(tasa_reuso,1,$B$2))*INDEX(costo_analisis,1,$B$2)*sens_costo_analisis</f>
        <v>2070.096</v>
      </c>
      <c r="D52" s="0" t="n">
        <f aca="false">D6*MIN(INDEX(analisis_por_ua_mes,1,$B$2),tope_mensual)*meses_anio*(1-INDEX(tasa_reuso,1,$B$2))*INDEX(costo_analisis,1,$B$2)*sens_costo_analisis</f>
        <v>8280.384</v>
      </c>
      <c r="E52" s="0" t="n">
        <f aca="false">E6*MIN(INDEX(analisis_por_ua_mes,1,$B$2),tope_mensual)*meses_anio*(1-INDEX(tasa_reuso,1,$B$2))*INDEX(costo_analisis,1,$B$2)*sens_costo_analisis</f>
        <v>20700.96</v>
      </c>
      <c r="F52" s="0" t="n">
        <f aca="false">F6*MIN(INDEX(analisis_por_ua_mes,1,$B$2),tope_mensual)*meses_anio*(1-INDEX(tasa_reuso,1,$B$2))*INDEX(costo_analisis,1,$B$2)*sens_costo_analisis</f>
        <v>41401.92</v>
      </c>
      <c r="G52" s="0" t="n">
        <f aca="false">G6*MIN(INDEX(analisis_por_ua_mes,1,$B$2),tope_mensual)*meses_anio*(1-INDEX(tasa_reuso,1,$B$2))*INDEX(costo_analisis,1,$B$2)*sens_costo_analisis</f>
        <v>62102.88</v>
      </c>
    </row>
    <row r="53" customFormat="false" ht="15" hidden="false" customHeight="false" outlineLevel="0" collapsed="false">
      <c r="A53" s="0" t="s">
        <v>317</v>
      </c>
      <c r="C53" s="0" t="n">
        <f aca="false">((C19+C24)*MIN(INDEX(consultas_pro_mes,1,$B$2),cuota_intermedia)+(C14+C34)*MIN(INDEX(consultas_ent_mes,1,$B$2),cuota_superior))*meses_anio*(1-INDEX(tasa_reuso,1,$B$2))*INDEX(costo_analisis,1,$B$2)*sens_costo_analisis</f>
        <v>0</v>
      </c>
      <c r="D53" s="0" t="n">
        <f aca="false">((D19+D24)*MIN(INDEX(consultas_pro_mes,1,$B$2),cuota_intermedia)+(D14+D34)*MIN(INDEX(consultas_ent_mes,1,$B$2),cuota_superior))*meses_anio*(1-INDEX(tasa_reuso,1,$B$2))*INDEX(costo_analisis,1,$B$2)*sens_costo_analisis</f>
        <v>14904.6912</v>
      </c>
      <c r="E53" s="0" t="n">
        <f aca="false">((E19+E24)*MIN(INDEX(consultas_pro_mes,1,$B$2),cuota_intermedia)+(E14+E34)*MIN(INDEX(consultas_ent_mes,1,$B$2),cuota_superior))*meses_anio*(1-INDEX(tasa_reuso,1,$B$2))*INDEX(costo_analisis,1,$B$2)*sens_costo_analisis</f>
        <v>43886.0352</v>
      </c>
      <c r="F53" s="0" t="n">
        <f aca="false">((F19+F24)*MIN(INDEX(consultas_pro_mes,1,$B$2),cuota_intermedia)+(F14+F34)*MIN(INDEX(consultas_ent_mes,1,$B$2),cuota_superior))*meses_anio*(1-INDEX(tasa_reuso,1,$B$2))*INDEX(costo_analisis,1,$B$2)*sens_costo_analisis</f>
        <v>67071.1104</v>
      </c>
      <c r="G53" s="0" t="n">
        <f aca="false">((G19+G24)*MIN(INDEX(consultas_pro_mes,1,$B$2),cuota_intermedia)+(G14+G34)*MIN(INDEX(consultas_ent_mes,1,$B$2),cuota_superior))*meses_anio*(1-INDEX(tasa_reuso,1,$B$2))*INDEX(costo_analisis,1,$B$2)*sens_costo_analisis</f>
        <v>85287.9552</v>
      </c>
    </row>
    <row r="54" customFormat="false" ht="15" hidden="false" customHeight="false" outlineLevel="0" collapsed="false">
      <c r="A54" s="0" t="s">
        <v>318</v>
      </c>
      <c r="B54" s="0" t="n">
        <f aca="false">SUM(B48:B53)</f>
        <v>1714.5</v>
      </c>
      <c r="C54" s="0" t="n">
        <f aca="false">SUM(C48:C53)</f>
        <v>37125.806</v>
      </c>
      <c r="D54" s="0" t="n">
        <f aca="false">SUM(D48:D53)</f>
        <v>61852.0957</v>
      </c>
      <c r="E54" s="0" t="n">
        <f aca="false">SUM(E48:E53)</f>
        <v>107014.291725</v>
      </c>
      <c r="F54" s="0" t="n">
        <f aca="false">SUM(F48:F53)</f>
        <v>154837.41675125</v>
      </c>
      <c r="G54" s="0" t="n">
        <f aca="false">SUM(G48:G53)</f>
        <v>197777.165868813</v>
      </c>
    </row>
    <row r="56" customFormat="false" ht="15" hidden="false" customHeight="false" outlineLevel="0" collapsed="false">
      <c r="A56" s="1" t="s">
        <v>319</v>
      </c>
    </row>
    <row r="57" customFormat="false" ht="15" hidden="false" customHeight="false" outlineLevel="0" collapsed="false">
      <c r="A57" s="0" t="s">
        <v>320</v>
      </c>
      <c r="B57" s="0" t="n">
        <f aca="false">B45-B54</f>
        <v>-1714.5</v>
      </c>
      <c r="C57" s="0" t="n">
        <f aca="false">C45-C54</f>
        <v>-37125.806</v>
      </c>
      <c r="D57" s="0" t="n">
        <f aca="false">D45-D54</f>
        <v>-4252.09570000001</v>
      </c>
      <c r="E57" s="0" t="n">
        <f aca="false">E45-E54</f>
        <v>102785.708275</v>
      </c>
      <c r="F57" s="0" t="n">
        <f aca="false">F45-F54</f>
        <v>104962.58324875</v>
      </c>
      <c r="G57" s="0" t="n">
        <f aca="false">G45-G54</f>
        <v>171622.834131188</v>
      </c>
    </row>
    <row r="58" customFormat="false" ht="15" hidden="false" customHeight="false" outlineLevel="0" collapsed="false">
      <c r="A58" s="0" t="s">
        <v>321</v>
      </c>
      <c r="B58" s="0" t="n">
        <f aca="false">MIN(0,B57)</f>
        <v>-1714.5</v>
      </c>
      <c r="C58" s="0" t="n">
        <f aca="false">MIN(0,B58+C57)</f>
        <v>-38840.306</v>
      </c>
      <c r="D58" s="0" t="n">
        <f aca="false">MIN(0,C58+D57)</f>
        <v>-43092.4017</v>
      </c>
      <c r="E58" s="0" t="n">
        <f aca="false">MIN(0,D58+E57)</f>
        <v>0</v>
      </c>
      <c r="F58" s="0" t="n">
        <f aca="false">MIN(0,E58+F57)</f>
        <v>0</v>
      </c>
      <c r="G58" s="0" t="n">
        <f aca="false">MIN(0,F58+G57)</f>
        <v>0</v>
      </c>
    </row>
    <row r="59" customFormat="false" ht="15" hidden="false" customHeight="false" outlineLevel="0" collapsed="false">
      <c r="A59" s="0" t="s">
        <v>322</v>
      </c>
      <c r="B59" s="0" t="n">
        <f aca="false">alicuota_ganancias*MAX(0,B57)</f>
        <v>0</v>
      </c>
      <c r="C59" s="0" t="n">
        <f aca="false">alicuota_ganancias*MAX(0,B58+C57)</f>
        <v>0</v>
      </c>
      <c r="D59" s="0" t="n">
        <f aca="false">alicuota_ganancias*MAX(0,C58+D57)</f>
        <v>0</v>
      </c>
      <c r="E59" s="0" t="n">
        <f aca="false">alicuota_ganancias*MAX(0,D58+E57)</f>
        <v>20892.65730125</v>
      </c>
      <c r="F59" s="0" t="n">
        <f aca="false">alicuota_ganancias*MAX(0,E58+F57)</f>
        <v>36736.9041370625</v>
      </c>
      <c r="G59" s="0" t="n">
        <f aca="false">alicuota_ganancias*MAX(0,F58+G57)</f>
        <v>60067.9919459156</v>
      </c>
    </row>
    <row r="60" customFormat="false" ht="15" hidden="false" customHeight="false" outlineLevel="0" collapsed="false">
      <c r="A60" s="0" t="s">
        <v>323</v>
      </c>
      <c r="B60" s="0" t="n">
        <f aca="false">meses_cobro/meses_anio*B45</f>
        <v>0</v>
      </c>
      <c r="C60" s="0" t="n">
        <f aca="false">meses_cobro/meses_anio*C45</f>
        <v>0</v>
      </c>
      <c r="D60" s="0" t="n">
        <f aca="false">meses_cobro/meses_anio*D45</f>
        <v>9600</v>
      </c>
      <c r="E60" s="0" t="n">
        <f aca="false">meses_cobro/meses_anio*E45</f>
        <v>34966.6666666667</v>
      </c>
      <c r="F60" s="0" t="n">
        <f aca="false">meses_cobro/meses_anio*F45</f>
        <v>43300</v>
      </c>
      <c r="G60" s="0" t="n">
        <f aca="false">meses_cobro/meses_anio*G45</f>
        <v>61566.6666666667</v>
      </c>
    </row>
    <row r="61" customFormat="false" ht="15" hidden="false" customHeight="false" outlineLevel="0" collapsed="false">
      <c r="A61" s="0" t="s">
        <v>324</v>
      </c>
      <c r="B61" s="0" t="n">
        <f aca="false">B60</f>
        <v>0</v>
      </c>
      <c r="C61" s="0" t="n">
        <f aca="false">C60-B60</f>
        <v>0</v>
      </c>
      <c r="D61" s="0" t="n">
        <f aca="false">D60-C60</f>
        <v>9600</v>
      </c>
      <c r="E61" s="0" t="n">
        <f aca="false">E60-D60</f>
        <v>25366.6666666667</v>
      </c>
      <c r="F61" s="0" t="n">
        <f aca="false">F60-E60</f>
        <v>8333.33333333334</v>
      </c>
      <c r="G61" s="0" t="n">
        <f aca="false">G60-F60</f>
        <v>18266.6666666667</v>
      </c>
    </row>
    <row r="62" customFormat="false" ht="15" hidden="false" customHeight="false" outlineLevel="0" collapsed="false">
      <c r="A62" s="0" t="s">
        <v>325</v>
      </c>
      <c r="G62" s="0" t="n">
        <f aca="false">G60</f>
        <v>61566.6666666667</v>
      </c>
    </row>
    <row r="64" customFormat="false" ht="15" hidden="false" customHeight="false" outlineLevel="0" collapsed="false">
      <c r="A64" s="1" t="s">
        <v>326</v>
      </c>
    </row>
    <row r="65" customFormat="false" ht="15" hidden="false" customHeight="false" outlineLevel="0" collapsed="false">
      <c r="A65" s="0" t="s">
        <v>327</v>
      </c>
      <c r="B65" s="0" t="n">
        <f aca="false">B57-B59-B61+N(B62)</f>
        <v>-1714.5</v>
      </c>
      <c r="C65" s="0" t="n">
        <f aca="false">C57-C59-C61+N(C62)</f>
        <v>-37125.806</v>
      </c>
      <c r="D65" s="0" t="n">
        <f aca="false">D57-D59-D61+N(D62)</f>
        <v>-13852.0957</v>
      </c>
      <c r="E65" s="0" t="n">
        <f aca="false">E57-E59-E61+N(E62)</f>
        <v>56526.3843070833</v>
      </c>
      <c r="F65" s="0" t="n">
        <f aca="false">F57-F59-F61+N(F62)</f>
        <v>59892.3457783542</v>
      </c>
      <c r="G65" s="0" t="n">
        <f aca="false">G57-G59-G61+N(G62)</f>
        <v>154854.842185272</v>
      </c>
    </row>
    <row r="66" customFormat="false" ht="15" hidden="false" customHeight="false" outlineLevel="0" collapsed="false">
      <c r="A66" s="0" t="s">
        <v>328</v>
      </c>
      <c r="B66" s="0" t="n">
        <f aca="false">1/(1+tasa_descuento)^B$3</f>
        <v>1</v>
      </c>
      <c r="C66" s="0" t="n">
        <f aca="false">1/(1+tasa_descuento)^C$3</f>
        <v>0.8</v>
      </c>
      <c r="D66" s="0" t="n">
        <f aca="false">1/(1+tasa_descuento)^D$3</f>
        <v>0.64</v>
      </c>
      <c r="E66" s="0" t="n">
        <f aca="false">1/(1+tasa_descuento)^E$3</f>
        <v>0.512</v>
      </c>
      <c r="F66" s="0" t="n">
        <f aca="false">1/(1+tasa_descuento)^F$3</f>
        <v>0.4096</v>
      </c>
      <c r="G66" s="0" t="n">
        <f aca="false">1/(1+tasa_descuento)^G$3</f>
        <v>0.32768</v>
      </c>
    </row>
    <row r="67" customFormat="false" ht="15" hidden="false" customHeight="false" outlineLevel="0" collapsed="false">
      <c r="A67" s="0" t="s">
        <v>329</v>
      </c>
      <c r="B67" s="0" t="n">
        <f aca="false">B65*B66</f>
        <v>-1714.5</v>
      </c>
      <c r="C67" s="0" t="n">
        <f aca="false">C65*C66</f>
        <v>-29700.6448</v>
      </c>
      <c r="D67" s="0" t="n">
        <f aca="false">D65*D66</f>
        <v>-8865.341248</v>
      </c>
      <c r="E67" s="0" t="n">
        <f aca="false">E65*E66</f>
        <v>28941.5087652267</v>
      </c>
      <c r="F67" s="0" t="n">
        <f aca="false">F65*F66</f>
        <v>24531.9048308139</v>
      </c>
      <c r="G67" s="0" t="n">
        <f aca="false">G65*G66</f>
        <v>50742.8346872699</v>
      </c>
    </row>
    <row r="68" customFormat="false" ht="15" hidden="false" customHeight="false" outlineLevel="0" collapsed="false">
      <c r="A68" s="0" t="s">
        <v>330</v>
      </c>
      <c r="B68" s="0" t="n">
        <f aca="false">B65</f>
        <v>-1714.5</v>
      </c>
      <c r="C68" s="0" t="n">
        <f aca="false">B68+C65</f>
        <v>-38840.306</v>
      </c>
      <c r="D68" s="0" t="n">
        <f aca="false">C68+D65</f>
        <v>-52692.4017</v>
      </c>
      <c r="E68" s="0" t="n">
        <f aca="false">D68+E65</f>
        <v>3833.98260708334</v>
      </c>
      <c r="F68" s="0" t="n">
        <f aca="false">E68+F65</f>
        <v>63726.3283854375</v>
      </c>
      <c r="G68" s="0" t="n">
        <f aca="false">F68+G65</f>
        <v>218581.170570709</v>
      </c>
    </row>
    <row r="69" customFormat="false" ht="15" hidden="false" customHeight="false" outlineLevel="0" collapsed="false">
      <c r="A69" s="0" t="s">
        <v>331</v>
      </c>
      <c r="B69" s="0" t="n">
        <f aca="false">B67</f>
        <v>-1714.5</v>
      </c>
      <c r="C69" s="0" t="n">
        <f aca="false">B69+C67</f>
        <v>-31415.1448</v>
      </c>
      <c r="D69" s="0" t="n">
        <f aca="false">C69+D67</f>
        <v>-40280.486048</v>
      </c>
      <c r="E69" s="0" t="n">
        <f aca="false">D69+E67</f>
        <v>-11338.9772827733</v>
      </c>
      <c r="F69" s="0" t="n">
        <f aca="false">E69+F67</f>
        <v>13192.9275480405</v>
      </c>
      <c r="G69" s="0" t="n">
        <f aca="false">F69+G67</f>
        <v>63935.7622353104</v>
      </c>
    </row>
    <row r="70" customFormat="false" ht="15" hidden="false" customHeight="false" outlineLevel="0" collapsed="false">
      <c r="A70" s="0" t="s">
        <v>332</v>
      </c>
      <c r="C70" s="0" t="str">
        <f aca="false">IF(AND(B68&lt;0,C68&gt;=0),C$3-1+(-B68)/C65,"")</f>
        <v/>
      </c>
      <c r="D70" s="0" t="str">
        <f aca="false">IF(AND(C68&lt;0,D68&gt;=0),D$3-1+(-C68)/D65,"")</f>
        <v/>
      </c>
      <c r="E70" s="0" t="n">
        <f aca="false">IF(AND(D68&lt;0,E68&gt;=0),E$3-1+(-D68)/E65,"")</f>
        <v>2.93217357426835</v>
      </c>
      <c r="F70" s="0" t="str">
        <f aca="false">IF(AND(E68&lt;0,F68&gt;=0),F$3-1+(-E68)/F65,"")</f>
        <v/>
      </c>
      <c r="G70" s="0" t="str">
        <f aca="false">IF(AND(F68&lt;0,G68&gt;=0),G$3-1+(-F68)/G65,"")</f>
        <v/>
      </c>
    </row>
    <row r="71" customFormat="false" ht="15" hidden="false" customHeight="false" outlineLevel="0" collapsed="false">
      <c r="A71" s="0" t="s">
        <v>333</v>
      </c>
      <c r="C71" s="0" t="str">
        <f aca="false">IF(AND(B69&lt;0,C69&gt;=0),C$3-1+(-B69)/C67,"")</f>
        <v/>
      </c>
      <c r="D71" s="0" t="str">
        <f aca="false">IF(AND(C69&lt;0,D69&gt;=0),D$3-1+(-C69)/D67,"")</f>
        <v/>
      </c>
      <c r="E71" s="0" t="str">
        <f aca="false">IF(AND(D69&lt;0,E69&gt;=0),E$3-1+(-D69)/E67,"")</f>
        <v/>
      </c>
      <c r="F71" s="0" t="n">
        <f aca="false">IF(AND(E69&lt;0,F69&gt;=0),F$3-1+(-E69)/F67,"")</f>
        <v>3.46221348733306</v>
      </c>
      <c r="G71" s="0" t="str">
        <f aca="false">IF(AND(F69&lt;0,G69&gt;=0),G$3-1+(-F69)/G67,"")</f>
        <v/>
      </c>
    </row>
    <row r="73" customFormat="false" ht="15" hidden="false" customHeight="false" outlineLevel="0" collapsed="false">
      <c r="A73" s="1" t="s">
        <v>334</v>
      </c>
    </row>
    <row r="74" customFormat="false" ht="15" hidden="false" customHeight="false" outlineLevel="0" collapsed="false">
      <c r="A74" s="0" t="s">
        <v>236</v>
      </c>
      <c r="B74" s="0" t="n">
        <f aca="false">SUM(B67:G67)</f>
        <v>63935.7622353104</v>
      </c>
    </row>
    <row r="75" customFormat="false" ht="15" hidden="false" customHeight="false" outlineLevel="0" collapsed="false">
      <c r="A75" s="0" t="s">
        <v>237</v>
      </c>
      <c r="B75" s="2" t="n">
        <f aca="false">IFERROR(IRR(B65:G65),"no definida")</f>
        <v>0.725504464517237</v>
      </c>
    </row>
    <row r="76" customFormat="false" ht="15" hidden="false" customHeight="false" outlineLevel="0" collapsed="false">
      <c r="A76" s="0" t="s">
        <v>238</v>
      </c>
      <c r="B76" s="0" t="n">
        <f aca="false">IF(COUNT(C70:G70)=0,"no se recupera",MIN(C70:G70))</f>
        <v>2.93217357426835</v>
      </c>
    </row>
    <row r="77" customFormat="false" ht="15" hidden="false" customHeight="false" outlineLevel="0" collapsed="false">
      <c r="A77" s="0" t="s">
        <v>239</v>
      </c>
      <c r="B77" s="0" t="n">
        <f aca="false">IF(COUNT(C71:G71)=0,"no se recupera",MIN(C71:G71))</f>
        <v>3.46221348733306</v>
      </c>
    </row>
    <row r="78" customFormat="false" ht="15" hidden="false" customHeight="false" outlineLevel="0" collapsed="false">
      <c r="A78" s="0" t="s">
        <v>242</v>
      </c>
      <c r="B78" s="0" t="n">
        <f aca="false">SUM(B67:G67)+MAX(0,G65-G62)*(1+crecimiento_perpetuo)/(tasa_descuento-crecimiento_perpetuo)/(1+tasa_descuento)^5</f>
        <v>199501.165457116</v>
      </c>
    </row>
    <row r="79" customFormat="false" ht="15" hidden="false" customHeight="false" outlineLevel="0" collapsed="false">
      <c r="A79" s="0" t="s">
        <v>241</v>
      </c>
      <c r="B79" s="0" t="n">
        <f aca="false">IFERROR(G45/G36,"no definido")</f>
        <v>8901.20481927711</v>
      </c>
    </row>
    <row r="80" customFormat="false" ht="15" hidden="false" customHeight="false" outlineLevel="0" collapsed="false">
      <c r="A80" s="0" t="s">
        <v>240</v>
      </c>
      <c r="B80" s="0" t="n">
        <f aca="false">IFERROR(ROUNDUP(G54/B79,0),"no definido")</f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1" t="s">
        <v>336</v>
      </c>
    </row>
    <row r="2" customFormat="false" ht="15" hidden="false" customHeight="false" outlineLevel="0" collapsed="false">
      <c r="A2" s="0" t="s">
        <v>270</v>
      </c>
      <c r="B2" s="0" t="n">
        <v>3</v>
      </c>
    </row>
    <row r="3" customFormat="false" ht="15" hidden="false" customHeight="false" outlineLevel="0" collapsed="false">
      <c r="A3" s="0" t="s">
        <v>271</v>
      </c>
      <c r="B3" s="0" t="n">
        <f aca="false">COLUMN()-2</f>
        <v>0</v>
      </c>
      <c r="C3" s="0" t="n">
        <f aca="false">COLUMN()-2</f>
        <v>1</v>
      </c>
      <c r="D3" s="0" t="n">
        <f aca="false">COLUMN()-2</f>
        <v>2</v>
      </c>
      <c r="E3" s="0" t="n">
        <f aca="false">COLUMN()-2</f>
        <v>3</v>
      </c>
      <c r="F3" s="0" t="n">
        <f aca="false">COLUMN()-2</f>
        <v>4</v>
      </c>
      <c r="G3" s="0" t="n">
        <f aca="false">COLUMN()-2</f>
        <v>5</v>
      </c>
    </row>
    <row r="4" customFormat="false" ht="15" hidden="false" customHeight="false" outlineLevel="0" collapsed="false">
      <c r="A4" s="0" t="s">
        <v>272</v>
      </c>
      <c r="B4" s="0" t="n">
        <f aca="false">anio_0+B$3</f>
        <v>2026</v>
      </c>
      <c r="C4" s="0" t="n">
        <f aca="false">anio_0+C$3</f>
        <v>2027</v>
      </c>
      <c r="D4" s="0" t="n">
        <f aca="false">anio_0+D$3</f>
        <v>2028</v>
      </c>
      <c r="E4" s="0" t="n">
        <f aca="false">anio_0+E$3</f>
        <v>2029</v>
      </c>
      <c r="F4" s="0" t="n">
        <f aca="false">anio_0+F$3</f>
        <v>2030</v>
      </c>
      <c r="G4" s="0" t="n">
        <f aca="false">anio_0+G$3</f>
        <v>2031</v>
      </c>
    </row>
    <row r="5" customFormat="false" ht="15" hidden="false" customHeight="false" outlineLevel="0" collapsed="false">
      <c r="A5" s="0" t="s">
        <v>273</v>
      </c>
      <c r="B5" s="0" t="n">
        <f aca="false">INDEX(anio_electoral,B$3+1)</f>
        <v>0</v>
      </c>
      <c r="C5" s="0" t="n">
        <f aca="false">INDEX(anio_electoral,C$3+1)</f>
        <v>1</v>
      </c>
      <c r="D5" s="0" t="n">
        <f aca="false">INDEX(anio_electoral,D$3+1)</f>
        <v>0</v>
      </c>
      <c r="E5" s="0" t="n">
        <f aca="false">INDEX(anio_electoral,E$3+1)</f>
        <v>1</v>
      </c>
      <c r="F5" s="0" t="n">
        <f aca="false">INDEX(anio_electoral,F$3+1)</f>
        <v>0</v>
      </c>
      <c r="G5" s="0" t="n">
        <f aca="false">INDEX(anio_electoral,G$3+1)</f>
        <v>1</v>
      </c>
    </row>
    <row r="6" customFormat="false" ht="15" hidden="false" customHeight="false" outlineLevel="0" collapsed="false">
      <c r="A6" s="0" t="s">
        <v>274</v>
      </c>
      <c r="C6" s="0" t="n">
        <f aca="false">INDEX(usuarios_activos,C$3,$B$2)</f>
        <v>500</v>
      </c>
      <c r="D6" s="0" t="n">
        <f aca="false">INDEX(usuarios_activos,D$3,$B$2)</f>
        <v>2000</v>
      </c>
      <c r="E6" s="0" t="n">
        <f aca="false">INDEX(usuarios_activos,E$3,$B$2)</f>
        <v>5000</v>
      </c>
      <c r="F6" s="0" t="n">
        <f aca="false">INDEX(usuarios_activos,F$3,$B$2)</f>
        <v>8000</v>
      </c>
      <c r="G6" s="0" t="n">
        <f aca="false">INDEX(usuarios_activos,G$3,$B$2)</f>
        <v>10000</v>
      </c>
    </row>
    <row r="7" customFormat="false" ht="15" hidden="false" customHeight="false" outlineLevel="0" collapsed="false">
      <c r="A7" s="0" t="s">
        <v>275</v>
      </c>
      <c r="C7" s="0" t="n">
        <f aca="false">IF(C6&gt;=ua_inicio_b2b,1,0)</f>
        <v>0</v>
      </c>
      <c r="D7" s="0" t="n">
        <f aca="false">IF(D6&gt;=ua_inicio_b2b,1,0)</f>
        <v>0</v>
      </c>
      <c r="E7" s="0" t="n">
        <f aca="false">IF(E6&gt;=ua_inicio_b2b,1,0)</f>
        <v>1</v>
      </c>
      <c r="F7" s="0" t="n">
        <f aca="false">IF(F6&gt;=ua_inicio_b2b,1,0)</f>
        <v>1</v>
      </c>
      <c r="G7" s="0" t="n">
        <f aca="false">IF(G6&gt;=ua_inicio_b2b,1,0)</f>
        <v>1</v>
      </c>
    </row>
    <row r="9" customFormat="false" ht="15" hidden="false" customHeight="false" outlineLevel="0" collapsed="false">
      <c r="A9" s="1" t="s">
        <v>165</v>
      </c>
    </row>
    <row r="10" customFormat="false" ht="15" hidden="false" customHeight="false" outlineLevel="0" collapsed="false">
      <c r="A10" s="0" t="s">
        <v>276</v>
      </c>
      <c r="C10" s="0" t="n">
        <f aca="false">N(B13)</f>
        <v>0</v>
      </c>
      <c r="D10" s="0" t="n">
        <f aca="false">N(C13)</f>
        <v>0</v>
      </c>
      <c r="E10" s="0" t="n">
        <f aca="false">N(D13)</f>
        <v>0</v>
      </c>
      <c r="F10" s="0" t="n">
        <f aca="false">N(E13)</f>
        <v>1</v>
      </c>
      <c r="G10" s="0" t="n">
        <f aca="false">N(F13)</f>
        <v>1</v>
      </c>
    </row>
    <row r="11" customFormat="false" ht="15" hidden="false" customHeight="false" outlineLevel="0" collapsed="false">
      <c r="A11" s="0" t="s">
        <v>277</v>
      </c>
      <c r="C11" s="0" t="n">
        <f aca="false">ROUND(INDEX(churn_medios_grandes,1,$B$2)*C10,0)</f>
        <v>0</v>
      </c>
      <c r="D11" s="0" t="n">
        <f aca="false">ROUND(INDEX(churn_medios_grandes,1,$B$2)*D10,0)</f>
        <v>0</v>
      </c>
      <c r="E11" s="0" t="n">
        <f aca="false">ROUND(INDEX(churn_medios_grandes,1,$B$2)*E10,0)</f>
        <v>0</v>
      </c>
      <c r="F11" s="0" t="n">
        <f aca="false">ROUND(INDEX(churn_medios_grandes,1,$B$2)*F10,0)</f>
        <v>0</v>
      </c>
      <c r="G11" s="0" t="n">
        <f aca="false">ROUND(INDEX(churn_medios_grandes,1,$B$2)*G10,0)</f>
        <v>0</v>
      </c>
    </row>
    <row r="12" customFormat="false" ht="15" hidden="false" customHeight="false" outlineLevel="0" collapsed="false">
      <c r="A12" s="0" t="s">
        <v>278</v>
      </c>
      <c r="C12" s="0" t="n">
        <f aca="false">C7*ROUND(INDEX(capt_medios_grandes,1,$B$2)*sens_captacion*(u_medios_grandes-C10),0)</f>
        <v>0</v>
      </c>
      <c r="D12" s="0" t="n">
        <f aca="false">D7*ROUND(INDEX(capt_medios_grandes,1,$B$2)*sens_captacion*(u_medios_grandes-D10),0)</f>
        <v>0</v>
      </c>
      <c r="E12" s="0" t="n">
        <f aca="false">E7*ROUND(INDEX(capt_medios_grandes,1,$B$2)*sens_captacion*(u_medios_grandes-E10),0)</f>
        <v>1</v>
      </c>
      <c r="F12" s="0" t="n">
        <f aca="false">F7*ROUND(INDEX(capt_medios_grandes,1,$B$2)*sens_captacion*(u_medios_grandes-F10),0)</f>
        <v>0</v>
      </c>
      <c r="G12" s="0" t="n">
        <f aca="false">G7*ROUND(INDEX(capt_medios_grandes,1,$B$2)*sens_captacion*(u_medios_grandes-G10),0)</f>
        <v>0</v>
      </c>
    </row>
    <row r="13" customFormat="false" ht="15" hidden="false" customHeight="false" outlineLevel="0" collapsed="false">
      <c r="A13" s="0" t="s">
        <v>279</v>
      </c>
      <c r="C13" s="0" t="n">
        <f aca="false">C10+C12-C11</f>
        <v>0</v>
      </c>
      <c r="D13" s="0" t="n">
        <f aca="false">D10+D12-D11</f>
        <v>0</v>
      </c>
      <c r="E13" s="0" t="n">
        <f aca="false">E10+E12-E11</f>
        <v>1</v>
      </c>
      <c r="F13" s="0" t="n">
        <f aca="false">F10+F12-F11</f>
        <v>1</v>
      </c>
      <c r="G13" s="0" t="n">
        <f aca="false">G10+G12-G11</f>
        <v>1</v>
      </c>
    </row>
    <row r="14" customFormat="false" ht="15" hidden="false" customHeight="false" outlineLevel="0" collapsed="false">
      <c r="A14" s="0" t="s">
        <v>280</v>
      </c>
      <c r="C14" s="0" t="n">
        <f aca="false">(C10+C13)/2</f>
        <v>0</v>
      </c>
      <c r="D14" s="0" t="n">
        <f aca="false">(D10+D13)/2</f>
        <v>0</v>
      </c>
      <c r="E14" s="0" t="n">
        <f aca="false">(E10+E13)/2</f>
        <v>0.5</v>
      </c>
      <c r="F14" s="0" t="n">
        <f aca="false">(F10+F13)/2</f>
        <v>1</v>
      </c>
      <c r="G14" s="0" t="n">
        <f aca="false">(G10+G13)/2</f>
        <v>1</v>
      </c>
    </row>
    <row r="15" customFormat="false" ht="15" hidden="false" customHeight="false" outlineLevel="0" collapsed="false">
      <c r="A15" s="0" t="s">
        <v>281</v>
      </c>
      <c r="C15" s="0" t="n">
        <f aca="false">N(B18)</f>
        <v>0</v>
      </c>
      <c r="D15" s="0" t="n">
        <f aca="false">N(C18)</f>
        <v>0</v>
      </c>
      <c r="E15" s="0" t="n">
        <f aca="false">N(D18)</f>
        <v>0</v>
      </c>
      <c r="F15" s="0" t="n">
        <f aca="false">N(E18)</f>
        <v>2</v>
      </c>
      <c r="G15" s="0" t="n">
        <f aca="false">N(F18)</f>
        <v>3</v>
      </c>
    </row>
    <row r="16" customFormat="false" ht="15" hidden="false" customHeight="false" outlineLevel="0" collapsed="false">
      <c r="A16" s="0" t="s">
        <v>282</v>
      </c>
      <c r="C16" s="0" t="n">
        <f aca="false">ROUND(INDEX(churn_medios_chicos,1,$B$2)*C15,0)</f>
        <v>0</v>
      </c>
      <c r="D16" s="0" t="n">
        <f aca="false">ROUND(INDEX(churn_medios_chicos,1,$B$2)*D15,0)</f>
        <v>0</v>
      </c>
      <c r="E16" s="0" t="n">
        <f aca="false">ROUND(INDEX(churn_medios_chicos,1,$B$2)*E15,0)</f>
        <v>0</v>
      </c>
      <c r="F16" s="0" t="n">
        <f aca="false">ROUND(INDEX(churn_medios_chicos,1,$B$2)*F15,0)</f>
        <v>1</v>
      </c>
      <c r="G16" s="0" t="n">
        <f aca="false">ROUND(INDEX(churn_medios_chicos,1,$B$2)*G15,0)</f>
        <v>1</v>
      </c>
    </row>
    <row r="17" customFormat="false" ht="15" hidden="false" customHeight="false" outlineLevel="0" collapsed="false">
      <c r="A17" s="0" t="s">
        <v>283</v>
      </c>
      <c r="C17" s="0" t="n">
        <f aca="false">C7*ROUND(INDEX(capt_medios_chicos,1,$B$2)*sens_captacion*(u_medios_chicos-C15),0)</f>
        <v>0</v>
      </c>
      <c r="D17" s="0" t="n">
        <f aca="false">D7*ROUND(INDEX(capt_medios_chicos,1,$B$2)*sens_captacion*(u_medios_chicos-D15),0)</f>
        <v>0</v>
      </c>
      <c r="E17" s="0" t="n">
        <f aca="false">E7*ROUND(INDEX(capt_medios_chicos,1,$B$2)*sens_captacion*(u_medios_chicos-E15),0)</f>
        <v>2</v>
      </c>
      <c r="F17" s="0" t="n">
        <f aca="false">F7*ROUND(INDEX(capt_medios_chicos,1,$B$2)*sens_captacion*(u_medios_chicos-F15),0)</f>
        <v>2</v>
      </c>
      <c r="G17" s="0" t="n">
        <f aca="false">G7*ROUND(INDEX(capt_medios_chicos,1,$B$2)*sens_captacion*(u_medios_chicos-G15),0)</f>
        <v>2</v>
      </c>
    </row>
    <row r="18" customFormat="false" ht="15" hidden="false" customHeight="false" outlineLevel="0" collapsed="false">
      <c r="A18" s="0" t="s">
        <v>284</v>
      </c>
      <c r="C18" s="0" t="n">
        <f aca="false">C15+C17-C16</f>
        <v>0</v>
      </c>
      <c r="D18" s="0" t="n">
        <f aca="false">D15+D17-D16</f>
        <v>0</v>
      </c>
      <c r="E18" s="0" t="n">
        <f aca="false">E15+E17-E16</f>
        <v>2</v>
      </c>
      <c r="F18" s="0" t="n">
        <f aca="false">F15+F17-F16</f>
        <v>3</v>
      </c>
      <c r="G18" s="0" t="n">
        <f aca="false">G15+G17-G16</f>
        <v>4</v>
      </c>
    </row>
    <row r="19" customFormat="false" ht="15" hidden="false" customHeight="false" outlineLevel="0" collapsed="false">
      <c r="A19" s="0" t="s">
        <v>285</v>
      </c>
      <c r="C19" s="0" t="n">
        <f aca="false">(C15+C18)/2</f>
        <v>0</v>
      </c>
      <c r="D19" s="0" t="n">
        <f aca="false">(D15+D18)/2</f>
        <v>0</v>
      </c>
      <c r="E19" s="0" t="n">
        <f aca="false">(E15+E18)/2</f>
        <v>1</v>
      </c>
      <c r="F19" s="0" t="n">
        <f aca="false">(F15+F18)/2</f>
        <v>2.5</v>
      </c>
      <c r="G19" s="0" t="n">
        <f aca="false">(G15+G18)/2</f>
        <v>3.5</v>
      </c>
    </row>
    <row r="20" customFormat="false" ht="15" hidden="false" customHeight="false" outlineLevel="0" collapsed="false">
      <c r="A20" s="0" t="s">
        <v>286</v>
      </c>
      <c r="C20" s="0" t="n">
        <f aca="false">N(B23)</f>
        <v>0</v>
      </c>
      <c r="D20" s="0" t="n">
        <f aca="false">N(C23)</f>
        <v>0</v>
      </c>
      <c r="E20" s="0" t="n">
        <f aca="false">N(D23)</f>
        <v>0</v>
      </c>
      <c r="F20" s="0" t="n">
        <f aca="false">N(E23)</f>
        <v>1</v>
      </c>
      <c r="G20" s="0" t="n">
        <f aca="false">N(F23)</f>
        <v>1</v>
      </c>
    </row>
    <row r="21" customFormat="false" ht="15" hidden="false" customHeight="false" outlineLevel="0" collapsed="false">
      <c r="A21" s="0" t="s">
        <v>287</v>
      </c>
      <c r="C21" s="0" t="n">
        <f aca="false">ROUND(INDEX(churn_verificadores,1,$B$2)*C20,0)</f>
        <v>0</v>
      </c>
      <c r="D21" s="0" t="n">
        <f aca="false">ROUND(INDEX(churn_verificadores,1,$B$2)*D20,0)</f>
        <v>0</v>
      </c>
      <c r="E21" s="0" t="n">
        <f aca="false">ROUND(INDEX(churn_verificadores,1,$B$2)*E20,0)</f>
        <v>0</v>
      </c>
      <c r="F21" s="0" t="n">
        <f aca="false">ROUND(INDEX(churn_verificadores,1,$B$2)*F20,0)</f>
        <v>0</v>
      </c>
      <c r="G21" s="0" t="n">
        <f aca="false">ROUND(INDEX(churn_verificadores,1,$B$2)*G20,0)</f>
        <v>0</v>
      </c>
    </row>
    <row r="22" customFormat="false" ht="15" hidden="false" customHeight="false" outlineLevel="0" collapsed="false">
      <c r="A22" s="0" t="s">
        <v>288</v>
      </c>
      <c r="C22" s="0" t="n">
        <f aca="false">C7*ROUND(INDEX(capt_verificadores,1,$B$2)*sens_captacion*(u_verificadores-C20),0)</f>
        <v>0</v>
      </c>
      <c r="D22" s="0" t="n">
        <f aca="false">D7*ROUND(INDEX(capt_verificadores,1,$B$2)*sens_captacion*(u_verificadores-D20),0)</f>
        <v>0</v>
      </c>
      <c r="E22" s="0" t="n">
        <f aca="false">E7*ROUND(INDEX(capt_verificadores,1,$B$2)*sens_captacion*(u_verificadores-E20),0)</f>
        <v>1</v>
      </c>
      <c r="F22" s="0" t="n">
        <f aca="false">F7*ROUND(INDEX(capt_verificadores,1,$B$2)*sens_captacion*(u_verificadores-F20),0)</f>
        <v>0</v>
      </c>
      <c r="G22" s="0" t="n">
        <f aca="false">G7*ROUND(INDEX(capt_verificadores,1,$B$2)*sens_captacion*(u_verificadores-G20),0)</f>
        <v>0</v>
      </c>
    </row>
    <row r="23" customFormat="false" ht="15" hidden="false" customHeight="false" outlineLevel="0" collapsed="false">
      <c r="A23" s="0" t="s">
        <v>289</v>
      </c>
      <c r="C23" s="0" t="n">
        <f aca="false">C20+C22-C21</f>
        <v>0</v>
      </c>
      <c r="D23" s="0" t="n">
        <f aca="false">D20+D22-D21</f>
        <v>0</v>
      </c>
      <c r="E23" s="0" t="n">
        <f aca="false">E20+E22-E21</f>
        <v>1</v>
      </c>
      <c r="F23" s="0" t="n">
        <f aca="false">F20+F22-F21</f>
        <v>1</v>
      </c>
      <c r="G23" s="0" t="n">
        <f aca="false">G20+G22-G21</f>
        <v>1</v>
      </c>
    </row>
    <row r="24" customFormat="false" ht="15" hidden="false" customHeight="false" outlineLevel="0" collapsed="false">
      <c r="A24" s="0" t="s">
        <v>290</v>
      </c>
      <c r="C24" s="0" t="n">
        <f aca="false">(C20+C23)/2</f>
        <v>0</v>
      </c>
      <c r="D24" s="0" t="n">
        <f aca="false">(D20+D23)/2</f>
        <v>0</v>
      </c>
      <c r="E24" s="0" t="n">
        <f aca="false">(E20+E23)/2</f>
        <v>0.5</v>
      </c>
      <c r="F24" s="0" t="n">
        <f aca="false">(F20+F23)/2</f>
        <v>1</v>
      </c>
      <c r="G24" s="0" t="n">
        <f aca="false">(G20+G23)/2</f>
        <v>1</v>
      </c>
    </row>
    <row r="25" customFormat="false" ht="15" hidden="false" customHeight="false" outlineLevel="0" collapsed="false">
      <c r="A25" s="0" t="s">
        <v>291</v>
      </c>
      <c r="C25" s="0" t="n">
        <f aca="false">N(B28)</f>
        <v>0</v>
      </c>
      <c r="D25" s="0" t="n">
        <f aca="false">N(C28)</f>
        <v>0</v>
      </c>
      <c r="E25" s="0" t="n">
        <f aca="false">N(D28)</f>
        <v>0</v>
      </c>
      <c r="F25" s="0" t="n">
        <f aca="false">N(E28)</f>
        <v>3</v>
      </c>
      <c r="G25" s="0" t="n">
        <f aca="false">N(F28)</f>
        <v>6</v>
      </c>
    </row>
    <row r="26" customFormat="false" ht="15" hidden="false" customHeight="false" outlineLevel="0" collapsed="false">
      <c r="A26" s="0" t="s">
        <v>292</v>
      </c>
      <c r="C26" s="0" t="n">
        <f aca="false">ROUND(INDEX(churn_universidades,1,$B$2)*C25,0)</f>
        <v>0</v>
      </c>
      <c r="D26" s="0" t="n">
        <f aca="false">ROUND(INDEX(churn_universidades,1,$B$2)*D25,0)</f>
        <v>0</v>
      </c>
      <c r="E26" s="0" t="n">
        <f aca="false">ROUND(INDEX(churn_universidades,1,$B$2)*E25,0)</f>
        <v>0</v>
      </c>
      <c r="F26" s="0" t="n">
        <f aca="false">ROUND(INDEX(churn_universidades,1,$B$2)*F25,0)</f>
        <v>0</v>
      </c>
      <c r="G26" s="0" t="n">
        <f aca="false">ROUND(INDEX(churn_universidades,1,$B$2)*G25,0)</f>
        <v>1</v>
      </c>
    </row>
    <row r="27" customFormat="false" ht="15" hidden="false" customHeight="false" outlineLevel="0" collapsed="false">
      <c r="A27" s="0" t="s">
        <v>293</v>
      </c>
      <c r="C27" s="0" t="n">
        <f aca="false">C7*ROUND(INDEX(capt_universidades,1,$B$2)*sens_captacion*(u_universidades-C25),0)</f>
        <v>0</v>
      </c>
      <c r="D27" s="0" t="n">
        <f aca="false">D7*ROUND(INDEX(capt_universidades,1,$B$2)*sens_captacion*(u_universidades-D25),0)</f>
        <v>0</v>
      </c>
      <c r="E27" s="0" t="n">
        <f aca="false">E7*ROUND(INDEX(capt_universidades,1,$B$2)*sens_captacion*(u_universidades-E25),0)</f>
        <v>3</v>
      </c>
      <c r="F27" s="0" t="n">
        <f aca="false">F7*ROUND(INDEX(capt_universidades,1,$B$2)*sens_captacion*(u_universidades-F25),0)</f>
        <v>3</v>
      </c>
      <c r="G27" s="0" t="n">
        <f aca="false">G7*ROUND(INDEX(capt_universidades,1,$B$2)*sens_captacion*(u_universidades-G25),0)</f>
        <v>3</v>
      </c>
    </row>
    <row r="28" customFormat="false" ht="15" hidden="false" customHeight="false" outlineLevel="0" collapsed="false">
      <c r="A28" s="0" t="s">
        <v>294</v>
      </c>
      <c r="C28" s="0" t="n">
        <f aca="false">C25+C27-C26</f>
        <v>0</v>
      </c>
      <c r="D28" s="0" t="n">
        <f aca="false">D25+D27-D26</f>
        <v>0</v>
      </c>
      <c r="E28" s="0" t="n">
        <f aca="false">E25+E27-E26</f>
        <v>3</v>
      </c>
      <c r="F28" s="0" t="n">
        <f aca="false">F25+F27-F26</f>
        <v>6</v>
      </c>
      <c r="G28" s="0" t="n">
        <f aca="false">G25+G27-G26</f>
        <v>8</v>
      </c>
    </row>
    <row r="29" customFormat="false" ht="15" hidden="false" customHeight="false" outlineLevel="0" collapsed="false">
      <c r="A29" s="0" t="s">
        <v>295</v>
      </c>
      <c r="C29" s="0" t="n">
        <f aca="false">(C25+C28)/2</f>
        <v>0</v>
      </c>
      <c r="D29" s="0" t="n">
        <f aca="false">(D25+D28)/2</f>
        <v>0</v>
      </c>
      <c r="E29" s="0" t="n">
        <f aca="false">(E25+E28)/2</f>
        <v>1.5</v>
      </c>
      <c r="F29" s="0" t="n">
        <f aca="false">(F25+F28)/2</f>
        <v>4.5</v>
      </c>
      <c r="G29" s="0" t="n">
        <f aca="false">(G25+G28)/2</f>
        <v>7</v>
      </c>
    </row>
    <row r="30" customFormat="false" ht="15" hidden="false" customHeight="false" outlineLevel="0" collapsed="false">
      <c r="A30" s="0" t="s">
        <v>296</v>
      </c>
      <c r="C30" s="0" t="n">
        <f aca="false">N(B33)</f>
        <v>0</v>
      </c>
      <c r="D30" s="0" t="n">
        <f aca="false">N(C33)</f>
        <v>0</v>
      </c>
      <c r="E30" s="0" t="n">
        <f aca="false">N(D33)</f>
        <v>0</v>
      </c>
      <c r="F30" s="0" t="n">
        <f aca="false">N(E33)</f>
        <v>1</v>
      </c>
      <c r="G30" s="0" t="n">
        <f aca="false">N(F33)</f>
        <v>2</v>
      </c>
    </row>
    <row r="31" customFormat="false" ht="15" hidden="false" customHeight="false" outlineLevel="0" collapsed="false">
      <c r="A31" s="0" t="s">
        <v>297</v>
      </c>
      <c r="C31" s="0" t="n">
        <f aca="false">ROUND(INDEX(churn_agencias,1,$B$2)*C30,0)</f>
        <v>0</v>
      </c>
      <c r="D31" s="0" t="n">
        <f aca="false">ROUND(INDEX(churn_agencias,1,$B$2)*D30,0)</f>
        <v>0</v>
      </c>
      <c r="E31" s="0" t="n">
        <f aca="false">ROUND(INDEX(churn_agencias,1,$B$2)*E30,0)</f>
        <v>0</v>
      </c>
      <c r="F31" s="0" t="n">
        <f aca="false">ROUND(INDEX(churn_agencias,1,$B$2)*F30,0)</f>
        <v>0</v>
      </c>
      <c r="G31" s="0" t="n">
        <f aca="false">ROUND(INDEX(churn_agencias,1,$B$2)*G30,0)</f>
        <v>1</v>
      </c>
    </row>
    <row r="32" customFormat="false" ht="15" hidden="false" customHeight="false" outlineLevel="0" collapsed="false">
      <c r="A32" s="0" t="s">
        <v>298</v>
      </c>
      <c r="C32" s="0" t="n">
        <f aca="false">C7*ROUND(INDEX(capt_agencias,1,$B$2)*sens_captacion*(u_agencias-C30),0)</f>
        <v>0</v>
      </c>
      <c r="D32" s="0" t="n">
        <f aca="false">D7*ROUND(INDEX(capt_agencias,1,$B$2)*sens_captacion*(u_agencias-D30),0)</f>
        <v>0</v>
      </c>
      <c r="E32" s="0" t="n">
        <f aca="false">E7*ROUND(INDEX(capt_agencias,1,$B$2)*sens_captacion*(u_agencias-E30),0)</f>
        <v>1</v>
      </c>
      <c r="F32" s="0" t="n">
        <f aca="false">F7*ROUND(INDEX(capt_agencias,1,$B$2)*sens_captacion*(u_agencias-F30),0)</f>
        <v>1</v>
      </c>
      <c r="G32" s="0" t="n">
        <f aca="false">G7*ROUND(INDEX(capt_agencias,1,$B$2)*sens_captacion*(u_agencias-G30),0)</f>
        <v>1</v>
      </c>
    </row>
    <row r="33" customFormat="false" ht="15" hidden="false" customHeight="false" outlineLevel="0" collapsed="false">
      <c r="A33" s="0" t="s">
        <v>299</v>
      </c>
      <c r="C33" s="0" t="n">
        <f aca="false">C30+C32-C31</f>
        <v>0</v>
      </c>
      <c r="D33" s="0" t="n">
        <f aca="false">D30+D32-D31</f>
        <v>0</v>
      </c>
      <c r="E33" s="0" t="n">
        <f aca="false">E30+E32-E31</f>
        <v>1</v>
      </c>
      <c r="F33" s="0" t="n">
        <f aca="false">F30+F32-F31</f>
        <v>2</v>
      </c>
      <c r="G33" s="0" t="n">
        <f aca="false">G30+G32-G31</f>
        <v>2</v>
      </c>
    </row>
    <row r="34" customFormat="false" ht="15" hidden="false" customHeight="false" outlineLevel="0" collapsed="false">
      <c r="A34" s="0" t="s">
        <v>300</v>
      </c>
      <c r="C34" s="0" t="n">
        <f aca="false">(C30+C33)/2</f>
        <v>0</v>
      </c>
      <c r="D34" s="0" t="n">
        <f aca="false">(D30+D33)/2</f>
        <v>0</v>
      </c>
      <c r="E34" s="0" t="n">
        <f aca="false">(E30+E33)/2</f>
        <v>0.5</v>
      </c>
      <c r="F34" s="0" t="n">
        <f aca="false">(F30+F33)/2</f>
        <v>1.5</v>
      </c>
      <c r="G34" s="0" t="n">
        <f aca="false">(G30+G33)/2</f>
        <v>2</v>
      </c>
    </row>
    <row r="35" customFormat="false" ht="15" hidden="false" customHeight="false" outlineLevel="0" collapsed="false">
      <c r="A35" s="0" t="s">
        <v>301</v>
      </c>
      <c r="C35" s="0" t="n">
        <f aca="false">C5*C7*ROUND(INDEX(capt_organismos,1,$B$2)*sens_captacion*u_organismos,0)</f>
        <v>0</v>
      </c>
      <c r="D35" s="0" t="n">
        <f aca="false">D5*D7*ROUND(INDEX(capt_organismos,1,$B$2)*sens_captacion*u_organismos,0)</f>
        <v>0</v>
      </c>
      <c r="E35" s="0" t="n">
        <f aca="false">E5*E7*ROUND(INDEX(capt_organismos,1,$B$2)*sens_captacion*u_organismos,0)</f>
        <v>1</v>
      </c>
      <c r="F35" s="0" t="n">
        <f aca="false">F5*F7*ROUND(INDEX(capt_organismos,1,$B$2)*sens_captacion*u_organismos,0)</f>
        <v>0</v>
      </c>
      <c r="G35" s="0" t="n">
        <f aca="false">G5*G7*ROUND(INDEX(capt_organismos,1,$B$2)*sens_captacion*u_organismos,0)</f>
        <v>1</v>
      </c>
    </row>
    <row r="36" customFormat="false" ht="15" hidden="false" customHeight="false" outlineLevel="0" collapsed="false">
      <c r="A36" s="0" t="s">
        <v>302</v>
      </c>
      <c r="C36" s="0" t="n">
        <f aca="false">C14+C19+C24+C29+C34+C35</f>
        <v>0</v>
      </c>
      <c r="D36" s="0" t="n">
        <f aca="false">D14+D19+D24+D29+D34+D35</f>
        <v>0</v>
      </c>
      <c r="E36" s="0" t="n">
        <f aca="false">E14+E19+E24+E29+E34+E35</f>
        <v>5</v>
      </c>
      <c r="F36" s="0" t="n">
        <f aca="false">F14+F19+F24+F29+F34+F35</f>
        <v>10.5</v>
      </c>
      <c r="G36" s="0" t="n">
        <f aca="false">G14+G19+G24+G29+G34+G35</f>
        <v>15.5</v>
      </c>
    </row>
    <row r="38" customFormat="false" ht="15" hidden="false" customHeight="false" outlineLevel="0" collapsed="false">
      <c r="A38" s="1" t="s">
        <v>303</v>
      </c>
    </row>
    <row r="39" customFormat="false" ht="15" hidden="false" customHeight="false" outlineLevel="0" collapsed="false">
      <c r="A39" s="0" t="s">
        <v>304</v>
      </c>
      <c r="C39" s="0" t="n">
        <f aca="false">C14*INDEX(precio_medios_grandes,1,$B$2)*sens_precios*meses_anio</f>
        <v>0</v>
      </c>
      <c r="D39" s="0" t="n">
        <f aca="false">D14*INDEX(precio_medios_grandes,1,$B$2)*sens_precios*meses_anio</f>
        <v>0</v>
      </c>
      <c r="E39" s="0" t="n">
        <f aca="false">E14*INDEX(precio_medios_grandes,1,$B$2)*sens_precios*meses_anio</f>
        <v>9000</v>
      </c>
      <c r="F39" s="0" t="n">
        <f aca="false">F14*INDEX(precio_medios_grandes,1,$B$2)*sens_precios*meses_anio</f>
        <v>18000</v>
      </c>
      <c r="G39" s="0" t="n">
        <f aca="false">G14*INDEX(precio_medios_grandes,1,$B$2)*sens_precios*meses_anio</f>
        <v>18000</v>
      </c>
    </row>
    <row r="40" customFormat="false" ht="15" hidden="false" customHeight="false" outlineLevel="0" collapsed="false">
      <c r="A40" s="0" t="s">
        <v>305</v>
      </c>
      <c r="C40" s="0" t="n">
        <f aca="false">C19*precio_medios_chicos*sens_precios*meses_anio</f>
        <v>0</v>
      </c>
      <c r="D40" s="0" t="n">
        <f aca="false">D19*precio_medios_chicos*sens_precios*meses_anio</f>
        <v>0</v>
      </c>
      <c r="E40" s="0" t="n">
        <f aca="false">E19*precio_medios_chicos*sens_precios*meses_anio</f>
        <v>2400</v>
      </c>
      <c r="F40" s="0" t="n">
        <f aca="false">F19*precio_medios_chicos*sens_precios*meses_anio</f>
        <v>6000</v>
      </c>
      <c r="G40" s="0" t="n">
        <f aca="false">G19*precio_medios_chicos*sens_precios*meses_anio</f>
        <v>8400</v>
      </c>
    </row>
    <row r="41" customFormat="false" ht="15" hidden="false" customHeight="false" outlineLevel="0" collapsed="false">
      <c r="A41" s="0" t="s">
        <v>306</v>
      </c>
      <c r="C41" s="0" t="n">
        <f aca="false">C24*precio_verificadores*sens_precios*meses_anio</f>
        <v>0</v>
      </c>
      <c r="D41" s="0" t="n">
        <f aca="false">D24*precio_verificadores*sens_precios*meses_anio</f>
        <v>0</v>
      </c>
      <c r="E41" s="0" t="n">
        <f aca="false">E24*precio_verificadores*sens_precios*meses_anio</f>
        <v>3000</v>
      </c>
      <c r="F41" s="0" t="n">
        <f aca="false">F24*precio_verificadores*sens_precios*meses_anio</f>
        <v>6000</v>
      </c>
      <c r="G41" s="0" t="n">
        <f aca="false">G24*precio_verificadores*sens_precios*meses_anio</f>
        <v>6000</v>
      </c>
    </row>
    <row r="42" customFormat="false" ht="15" hidden="false" customHeight="false" outlineLevel="0" collapsed="false">
      <c r="A42" s="0" t="s">
        <v>307</v>
      </c>
      <c r="C42" s="0" t="n">
        <f aca="false">C29*precio_universidades*sens_precios*meses_anio</f>
        <v>0</v>
      </c>
      <c r="D42" s="0" t="n">
        <f aca="false">D29*precio_universidades*sens_precios*meses_anio</f>
        <v>0</v>
      </c>
      <c r="E42" s="0" t="n">
        <f aca="false">E29*precio_universidades*sens_precios*meses_anio</f>
        <v>1800</v>
      </c>
      <c r="F42" s="0" t="n">
        <f aca="false">F29*precio_universidades*sens_precios*meses_anio</f>
        <v>5400</v>
      </c>
      <c r="G42" s="0" t="n">
        <f aca="false">G29*precio_universidades*sens_precios*meses_anio</f>
        <v>8400</v>
      </c>
    </row>
    <row r="43" customFormat="false" ht="15" hidden="false" customHeight="false" outlineLevel="0" collapsed="false">
      <c r="A43" s="0" t="s">
        <v>308</v>
      </c>
      <c r="C43" s="0" t="n">
        <f aca="false">C34*INDEX(precio_agencias,1,$B$2)*sens_precios*meses_anio</f>
        <v>0</v>
      </c>
      <c r="D43" s="0" t="n">
        <f aca="false">D34*INDEX(precio_agencias,1,$B$2)*sens_precios*meses_anio</f>
        <v>0</v>
      </c>
      <c r="E43" s="0" t="n">
        <f aca="false">E34*INDEX(precio_agencias,1,$B$2)*sens_precios*meses_anio</f>
        <v>9000</v>
      </c>
      <c r="F43" s="0" t="n">
        <f aca="false">F34*INDEX(precio_agencias,1,$B$2)*sens_precios*meses_anio</f>
        <v>27000</v>
      </c>
      <c r="G43" s="0" t="n">
        <f aca="false">G34*INDEX(precio_agencias,1,$B$2)*sens_precios*meses_anio</f>
        <v>36000</v>
      </c>
    </row>
    <row r="44" customFormat="false" ht="15" hidden="false" customHeight="false" outlineLevel="0" collapsed="false">
      <c r="A44" s="0" t="s">
        <v>309</v>
      </c>
      <c r="C44" s="0" t="n">
        <f aca="false">C35*INDEX(precio_organismos,1,$B$2)*sens_precios</f>
        <v>0</v>
      </c>
      <c r="D44" s="0" t="n">
        <f aca="false">D35*INDEX(precio_organismos,1,$B$2)*sens_precios</f>
        <v>0</v>
      </c>
      <c r="E44" s="0" t="n">
        <f aca="false">E35*INDEX(precio_organismos,1,$B$2)*sens_precios</f>
        <v>10000</v>
      </c>
      <c r="F44" s="0" t="n">
        <f aca="false">F35*INDEX(precio_organismos,1,$B$2)*sens_precios</f>
        <v>0</v>
      </c>
      <c r="G44" s="0" t="n">
        <f aca="false">G35*INDEX(precio_organismos,1,$B$2)*sens_precios</f>
        <v>10000</v>
      </c>
    </row>
    <row r="45" customFormat="false" ht="15" hidden="false" customHeight="false" outlineLevel="0" collapsed="false">
      <c r="A45" s="0" t="s">
        <v>310</v>
      </c>
      <c r="B45" s="0" t="n">
        <f aca="false">SUM(B39:B44)</f>
        <v>0</v>
      </c>
      <c r="C45" s="0" t="n">
        <f aca="false">SUM(C39:C44)</f>
        <v>0</v>
      </c>
      <c r="D45" s="0" t="n">
        <f aca="false">SUM(D39:D44)</f>
        <v>0</v>
      </c>
      <c r="E45" s="0" t="n">
        <f aca="false">SUM(E39:E44)</f>
        <v>35200</v>
      </c>
      <c r="F45" s="0" t="n">
        <f aca="false">SUM(F39:F44)</f>
        <v>62400</v>
      </c>
      <c r="G45" s="0" t="n">
        <f aca="false">SUM(G39:G44)</f>
        <v>86800</v>
      </c>
    </row>
    <row r="47" customFormat="false" ht="15" hidden="false" customHeight="false" outlineLevel="0" collapsed="false">
      <c r="A47" s="1" t="s">
        <v>311</v>
      </c>
    </row>
    <row r="48" customFormat="false" ht="15" hidden="false" customHeight="false" outlineLevel="0" collapsed="false">
      <c r="A48" s="0" t="s">
        <v>312</v>
      </c>
      <c r="C48" s="0" t="n">
        <f aca="false">sueldo_usd*sueldos_por_anio*(1+cargas_sociales)*(1+ajuste_sueldo)^C$3</f>
        <v>30786.21</v>
      </c>
      <c r="D48" s="0" t="n">
        <f aca="false">sueldo_usd*sueldos_por_anio*(1+cargas_sociales)*(1+ajuste_sueldo)^D$3</f>
        <v>32325.5205</v>
      </c>
      <c r="E48" s="0" t="n">
        <f aca="false">sueldo_usd*sueldos_por_anio*(1+cargas_sociales)*(1+ajuste_sueldo)^E$3</f>
        <v>33941.796525</v>
      </c>
      <c r="F48" s="0" t="n">
        <f aca="false">sueldo_usd*sueldos_por_anio*(1+cargas_sociales)*(1+ajuste_sueldo)^F$3</f>
        <v>35638.88635125</v>
      </c>
      <c r="G48" s="0" t="n">
        <f aca="false">sueldo_usd*sueldos_por_anio*(1+cargas_sociales)*(1+ajuste_sueldo)^G$3</f>
        <v>37420.8306688125</v>
      </c>
    </row>
    <row r="49" customFormat="false" ht="15" hidden="false" customHeight="false" outlineLevel="0" collapsed="false">
      <c r="A49" s="0" t="s">
        <v>313</v>
      </c>
      <c r="B49" s="0" t="n">
        <f aca="false">inv_infraestructura_0</f>
        <v>156</v>
      </c>
      <c r="C49" s="0" t="n">
        <f aca="false">meses_anio*(infra_base+infra_escalado*C6/ua_escalado)+dominio_anual</f>
        <v>251.5</v>
      </c>
      <c r="D49" s="0" t="n">
        <f aca="false">meses_anio*(infra_base+infra_escalado*D6/ua_escalado)+dominio_anual</f>
        <v>269.5</v>
      </c>
      <c r="E49" s="0" t="n">
        <f aca="false">meses_anio*(infra_base+infra_escalado*E6/ua_escalado)+dominio_anual</f>
        <v>305.5</v>
      </c>
      <c r="F49" s="0" t="n">
        <f aca="false">meses_anio*(infra_base+infra_escalado*F6/ua_escalado)+dominio_anual</f>
        <v>341.5</v>
      </c>
      <c r="G49" s="0" t="n">
        <f aca="false">meses_anio*(infra_base+infra_escalado*G6/ua_escalado)+dominio_anual</f>
        <v>365.5</v>
      </c>
    </row>
    <row r="50" customFormat="false" ht="15" hidden="false" customHeight="false" outlineLevel="0" collapsed="false">
      <c r="A50" s="0" t="s">
        <v>314</v>
      </c>
      <c r="C50" s="0" t="n">
        <f aca="false">INDEX(marketing,C$3,$B$2)</f>
        <v>2000</v>
      </c>
      <c r="D50" s="0" t="n">
        <f aca="false">INDEX(marketing,D$3,$B$2)</f>
        <v>3000</v>
      </c>
      <c r="E50" s="0" t="n">
        <f aca="false">INDEX(marketing,E$3,$B$2)</f>
        <v>4000</v>
      </c>
      <c r="F50" s="0" t="n">
        <f aca="false">INDEX(marketing,F$3,$B$2)</f>
        <v>5000</v>
      </c>
      <c r="G50" s="0" t="n">
        <f aca="false">INDEX(marketing,G$3,$B$2)</f>
        <v>6000</v>
      </c>
    </row>
    <row r="51" customFormat="false" ht="15" hidden="false" customHeight="false" outlineLevel="0" collapsed="false">
      <c r="A51" s="0" t="s">
        <v>315</v>
      </c>
      <c r="B51" s="0" t="n">
        <f aca="false">inv_dominio+inv_marca_inpi+inv_legal</f>
        <v>1558.5</v>
      </c>
    </row>
    <row r="52" customFormat="false" ht="15" hidden="false" customHeight="false" outlineLevel="0" collapsed="false">
      <c r="A52" s="0" t="s">
        <v>316</v>
      </c>
      <c r="C52" s="0" t="n">
        <f aca="false">C6*MIN(INDEX(analisis_por_ua_mes,1,$B$2),tope_mensual)*meses_anio*(1-INDEX(tasa_reuso,1,$B$2))*INDEX(costo_analisis,1,$B$2)*sens_costo_analisis</f>
        <v>911.136</v>
      </c>
      <c r="D52" s="0" t="n">
        <f aca="false">D6*MIN(INDEX(analisis_por_ua_mes,1,$B$2),tope_mensual)*meses_anio*(1-INDEX(tasa_reuso,1,$B$2))*INDEX(costo_analisis,1,$B$2)*sens_costo_analisis</f>
        <v>3644.544</v>
      </c>
      <c r="E52" s="0" t="n">
        <f aca="false">E6*MIN(INDEX(analisis_por_ua_mes,1,$B$2),tope_mensual)*meses_anio*(1-INDEX(tasa_reuso,1,$B$2))*INDEX(costo_analisis,1,$B$2)*sens_costo_analisis</f>
        <v>9111.36</v>
      </c>
      <c r="F52" s="0" t="n">
        <f aca="false">F6*MIN(INDEX(analisis_por_ua_mes,1,$B$2),tope_mensual)*meses_anio*(1-INDEX(tasa_reuso,1,$B$2))*INDEX(costo_analisis,1,$B$2)*sens_costo_analisis</f>
        <v>14578.176</v>
      </c>
      <c r="G52" s="0" t="n">
        <f aca="false">G6*MIN(INDEX(analisis_por_ua_mes,1,$B$2),tope_mensual)*meses_anio*(1-INDEX(tasa_reuso,1,$B$2))*INDEX(costo_analisis,1,$B$2)*sens_costo_analisis</f>
        <v>18222.72</v>
      </c>
    </row>
    <row r="53" customFormat="false" ht="15" hidden="false" customHeight="false" outlineLevel="0" collapsed="false">
      <c r="A53" s="0" t="s">
        <v>317</v>
      </c>
      <c r="C53" s="0" t="n">
        <f aca="false">((C19+C24)*MIN(INDEX(consultas_pro_mes,1,$B$2),cuota_intermedia)+(C14+C34)*MIN(INDEX(consultas_ent_mes,1,$B$2),cuota_superior))*meses_anio*(1-INDEX(tasa_reuso,1,$B$2))*INDEX(costo_analisis,1,$B$2)*sens_costo_analisis</f>
        <v>0</v>
      </c>
      <c r="D53" s="0" t="n">
        <f aca="false">((D19+D24)*MIN(INDEX(consultas_pro_mes,1,$B$2),cuota_intermedia)+(D14+D34)*MIN(INDEX(consultas_ent_mes,1,$B$2),cuota_superior))*meses_anio*(1-INDEX(tasa_reuso,1,$B$2))*INDEX(costo_analisis,1,$B$2)*sens_costo_analisis</f>
        <v>0</v>
      </c>
      <c r="E53" s="0" t="n">
        <f aca="false">((E19+E24)*MIN(INDEX(consultas_pro_mes,1,$B$2),cuota_intermedia)+(E14+E34)*MIN(INDEX(consultas_ent_mes,1,$B$2),cuota_superior))*meses_anio*(1-INDEX(tasa_reuso,1,$B$2))*INDEX(costo_analisis,1,$B$2)*sens_costo_analisis</f>
        <v>17311.584</v>
      </c>
      <c r="F53" s="0" t="n">
        <f aca="false">((F19+F24)*MIN(INDEX(consultas_pro_mes,1,$B$2),cuota_intermedia)+(F14+F34)*MIN(INDEX(consultas_ent_mes,1,$B$2),cuota_superior))*meses_anio*(1-INDEX(tasa_reuso,1,$B$2))*INDEX(costo_analisis,1,$B$2)*sens_costo_analisis</f>
        <v>42823.392</v>
      </c>
      <c r="G53" s="0" t="n">
        <f aca="false">((G19+G24)*MIN(INDEX(consultas_pro_mes,1,$B$2),cuota_intermedia)+(G14+G34)*MIN(INDEX(consultas_ent_mes,1,$B$2),cuota_superior))*meses_anio*(1-INDEX(tasa_reuso,1,$B$2))*INDEX(costo_analisis,1,$B$2)*sens_costo_analisis</f>
        <v>51934.752</v>
      </c>
    </row>
    <row r="54" customFormat="false" ht="15" hidden="false" customHeight="false" outlineLevel="0" collapsed="false">
      <c r="A54" s="0" t="s">
        <v>318</v>
      </c>
      <c r="B54" s="0" t="n">
        <f aca="false">SUM(B48:B53)</f>
        <v>1714.5</v>
      </c>
      <c r="C54" s="0" t="n">
        <f aca="false">SUM(C48:C53)</f>
        <v>33948.846</v>
      </c>
      <c r="D54" s="0" t="n">
        <f aca="false">SUM(D48:D53)</f>
        <v>39239.5645</v>
      </c>
      <c r="E54" s="0" t="n">
        <f aca="false">SUM(E48:E53)</f>
        <v>64670.240525</v>
      </c>
      <c r="F54" s="0" t="n">
        <f aca="false">SUM(F48:F53)</f>
        <v>98381.95435125</v>
      </c>
      <c r="G54" s="0" t="n">
        <f aca="false">SUM(G48:G53)</f>
        <v>113943.802668813</v>
      </c>
    </row>
    <row r="56" customFormat="false" ht="15" hidden="false" customHeight="false" outlineLevel="0" collapsed="false">
      <c r="A56" s="1" t="s">
        <v>319</v>
      </c>
    </row>
    <row r="57" customFormat="false" ht="15" hidden="false" customHeight="false" outlineLevel="0" collapsed="false">
      <c r="A57" s="0" t="s">
        <v>320</v>
      </c>
      <c r="B57" s="0" t="n">
        <f aca="false">B45-B54</f>
        <v>-1714.5</v>
      </c>
      <c r="C57" s="0" t="n">
        <f aca="false">C45-C54</f>
        <v>-33948.846</v>
      </c>
      <c r="D57" s="0" t="n">
        <f aca="false">D45-D54</f>
        <v>-39239.5645</v>
      </c>
      <c r="E57" s="0" t="n">
        <f aca="false">E45-E54</f>
        <v>-29470.240525</v>
      </c>
      <c r="F57" s="0" t="n">
        <f aca="false">F45-F54</f>
        <v>-35981.95435125</v>
      </c>
      <c r="G57" s="0" t="n">
        <f aca="false">G45-G54</f>
        <v>-27143.8026688125</v>
      </c>
    </row>
    <row r="58" customFormat="false" ht="15" hidden="false" customHeight="false" outlineLevel="0" collapsed="false">
      <c r="A58" s="0" t="s">
        <v>321</v>
      </c>
      <c r="B58" s="0" t="n">
        <f aca="false">MIN(0,B57)</f>
        <v>-1714.5</v>
      </c>
      <c r="C58" s="0" t="n">
        <f aca="false">MIN(0,B58+C57)</f>
        <v>-35663.346</v>
      </c>
      <c r="D58" s="0" t="n">
        <f aca="false">MIN(0,C58+D57)</f>
        <v>-74902.9105</v>
      </c>
      <c r="E58" s="0" t="n">
        <f aca="false">MIN(0,D58+E57)</f>
        <v>-104373.151025</v>
      </c>
      <c r="F58" s="0" t="n">
        <f aca="false">MIN(0,E58+F57)</f>
        <v>-140355.10537625</v>
      </c>
      <c r="G58" s="0" t="n">
        <f aca="false">MIN(0,F58+G57)</f>
        <v>-167498.908045063</v>
      </c>
    </row>
    <row r="59" customFormat="false" ht="15" hidden="false" customHeight="false" outlineLevel="0" collapsed="false">
      <c r="A59" s="0" t="s">
        <v>322</v>
      </c>
      <c r="B59" s="0" t="n">
        <f aca="false">alicuota_ganancias*MAX(0,B57)</f>
        <v>0</v>
      </c>
      <c r="C59" s="0" t="n">
        <f aca="false">alicuota_ganancias*MAX(0,B58+C57)</f>
        <v>0</v>
      </c>
      <c r="D59" s="0" t="n">
        <f aca="false">alicuota_ganancias*MAX(0,C58+D57)</f>
        <v>0</v>
      </c>
      <c r="E59" s="0" t="n">
        <f aca="false">alicuota_ganancias*MAX(0,D58+E57)</f>
        <v>0</v>
      </c>
      <c r="F59" s="0" t="n">
        <f aca="false">alicuota_ganancias*MAX(0,E58+F57)</f>
        <v>0</v>
      </c>
      <c r="G59" s="0" t="n">
        <f aca="false">alicuota_ganancias*MAX(0,F58+G57)</f>
        <v>0</v>
      </c>
    </row>
    <row r="60" customFormat="false" ht="15" hidden="false" customHeight="false" outlineLevel="0" collapsed="false">
      <c r="A60" s="0" t="s">
        <v>323</v>
      </c>
      <c r="B60" s="0" t="n">
        <f aca="false">meses_cobro/meses_anio*B45</f>
        <v>0</v>
      </c>
      <c r="C60" s="0" t="n">
        <f aca="false">meses_cobro/meses_anio*C45</f>
        <v>0</v>
      </c>
      <c r="D60" s="0" t="n">
        <f aca="false">meses_cobro/meses_anio*D45</f>
        <v>0</v>
      </c>
      <c r="E60" s="0" t="n">
        <f aca="false">meses_cobro/meses_anio*E45</f>
        <v>5866.66666666667</v>
      </c>
      <c r="F60" s="0" t="n">
        <f aca="false">meses_cobro/meses_anio*F45</f>
        <v>10400</v>
      </c>
      <c r="G60" s="0" t="n">
        <f aca="false">meses_cobro/meses_anio*G45</f>
        <v>14466.6666666667</v>
      </c>
    </row>
    <row r="61" customFormat="false" ht="15" hidden="false" customHeight="false" outlineLevel="0" collapsed="false">
      <c r="A61" s="0" t="s">
        <v>324</v>
      </c>
      <c r="B61" s="0" t="n">
        <f aca="false">B60</f>
        <v>0</v>
      </c>
      <c r="C61" s="0" t="n">
        <f aca="false">C60-B60</f>
        <v>0</v>
      </c>
      <c r="D61" s="0" t="n">
        <f aca="false">D60-C60</f>
        <v>0</v>
      </c>
      <c r="E61" s="0" t="n">
        <f aca="false">E60-D60</f>
        <v>5866.66666666667</v>
      </c>
      <c r="F61" s="0" t="n">
        <f aca="false">F60-E60</f>
        <v>4533.33333333333</v>
      </c>
      <c r="G61" s="0" t="n">
        <f aca="false">G60-F60</f>
        <v>4066.66666666667</v>
      </c>
    </row>
    <row r="62" customFormat="false" ht="15" hidden="false" customHeight="false" outlineLevel="0" collapsed="false">
      <c r="A62" s="0" t="s">
        <v>325</v>
      </c>
      <c r="G62" s="0" t="n">
        <f aca="false">G60</f>
        <v>14466.6666666667</v>
      </c>
    </row>
    <row r="64" customFormat="false" ht="15" hidden="false" customHeight="false" outlineLevel="0" collapsed="false">
      <c r="A64" s="1" t="s">
        <v>326</v>
      </c>
    </row>
    <row r="65" customFormat="false" ht="15" hidden="false" customHeight="false" outlineLevel="0" collapsed="false">
      <c r="A65" s="0" t="s">
        <v>327</v>
      </c>
      <c r="B65" s="0" t="n">
        <f aca="false">B57-B59-B61+N(B62)</f>
        <v>-1714.5</v>
      </c>
      <c r="C65" s="0" t="n">
        <f aca="false">C57-C59-C61+N(C62)</f>
        <v>-33948.846</v>
      </c>
      <c r="D65" s="0" t="n">
        <f aca="false">D57-D59-D61+N(D62)</f>
        <v>-39239.5645</v>
      </c>
      <c r="E65" s="0" t="n">
        <f aca="false">E57-E59-E61+N(E62)</f>
        <v>-35336.9071916667</v>
      </c>
      <c r="F65" s="0" t="n">
        <f aca="false">F57-F59-F61+N(F62)</f>
        <v>-40515.2876845833</v>
      </c>
      <c r="G65" s="0" t="n">
        <f aca="false">G57-G59-G61+N(G62)</f>
        <v>-16743.8026688125</v>
      </c>
    </row>
    <row r="66" customFormat="false" ht="15" hidden="false" customHeight="false" outlineLevel="0" collapsed="false">
      <c r="A66" s="0" t="s">
        <v>328</v>
      </c>
      <c r="B66" s="0" t="n">
        <f aca="false">1/(1+tasa_descuento)^B$3</f>
        <v>1</v>
      </c>
      <c r="C66" s="0" t="n">
        <f aca="false">1/(1+tasa_descuento)^C$3</f>
        <v>0.8</v>
      </c>
      <c r="D66" s="0" t="n">
        <f aca="false">1/(1+tasa_descuento)^D$3</f>
        <v>0.64</v>
      </c>
      <c r="E66" s="0" t="n">
        <f aca="false">1/(1+tasa_descuento)^E$3</f>
        <v>0.512</v>
      </c>
      <c r="F66" s="0" t="n">
        <f aca="false">1/(1+tasa_descuento)^F$3</f>
        <v>0.4096</v>
      </c>
      <c r="G66" s="0" t="n">
        <f aca="false">1/(1+tasa_descuento)^G$3</f>
        <v>0.32768</v>
      </c>
    </row>
    <row r="67" customFormat="false" ht="15" hidden="false" customHeight="false" outlineLevel="0" collapsed="false">
      <c r="A67" s="0" t="s">
        <v>329</v>
      </c>
      <c r="B67" s="0" t="n">
        <f aca="false">B65*B66</f>
        <v>-1714.5</v>
      </c>
      <c r="C67" s="0" t="n">
        <f aca="false">C65*C66</f>
        <v>-27159.0768</v>
      </c>
      <c r="D67" s="0" t="n">
        <f aca="false">D65*D66</f>
        <v>-25113.32128</v>
      </c>
      <c r="E67" s="0" t="n">
        <f aca="false">E65*E66</f>
        <v>-18092.4964821333</v>
      </c>
      <c r="F67" s="0" t="n">
        <f aca="false">F65*F66</f>
        <v>-16595.0618356053</v>
      </c>
      <c r="G67" s="0" t="n">
        <f aca="false">G65*G66</f>
        <v>-5486.60925851648</v>
      </c>
    </row>
    <row r="68" customFormat="false" ht="15" hidden="false" customHeight="false" outlineLevel="0" collapsed="false">
      <c r="A68" s="0" t="s">
        <v>330</v>
      </c>
      <c r="B68" s="0" t="n">
        <f aca="false">B65</f>
        <v>-1714.5</v>
      </c>
      <c r="C68" s="0" t="n">
        <f aca="false">B68+C65</f>
        <v>-35663.346</v>
      </c>
      <c r="D68" s="0" t="n">
        <f aca="false">C68+D65</f>
        <v>-74902.9105</v>
      </c>
      <c r="E68" s="0" t="n">
        <f aca="false">D68+E65</f>
        <v>-110239.817691667</v>
      </c>
      <c r="F68" s="0" t="n">
        <f aca="false">E68+F65</f>
        <v>-150755.10537625</v>
      </c>
      <c r="G68" s="0" t="n">
        <f aca="false">F68+G65</f>
        <v>-167498.908045063</v>
      </c>
    </row>
    <row r="69" customFormat="false" ht="15" hidden="false" customHeight="false" outlineLevel="0" collapsed="false">
      <c r="A69" s="0" t="s">
        <v>331</v>
      </c>
      <c r="B69" s="0" t="n">
        <f aca="false">B67</f>
        <v>-1714.5</v>
      </c>
      <c r="C69" s="0" t="n">
        <f aca="false">B69+C67</f>
        <v>-28873.5768</v>
      </c>
      <c r="D69" s="0" t="n">
        <f aca="false">C69+D67</f>
        <v>-53986.89808</v>
      </c>
      <c r="E69" s="0" t="n">
        <f aca="false">D69+E67</f>
        <v>-72079.3945621333</v>
      </c>
      <c r="F69" s="0" t="n">
        <f aca="false">E69+F67</f>
        <v>-88674.4563977387</v>
      </c>
      <c r="G69" s="0" t="n">
        <f aca="false">F69+G67</f>
        <v>-94161.0656562552</v>
      </c>
    </row>
    <row r="70" customFormat="false" ht="15" hidden="false" customHeight="false" outlineLevel="0" collapsed="false">
      <c r="A70" s="0" t="s">
        <v>332</v>
      </c>
      <c r="C70" s="0" t="str">
        <f aca="false">IF(AND(B68&lt;0,C68&gt;=0),C$3-1+(-B68)/C65,"")</f>
        <v/>
      </c>
      <c r="D70" s="0" t="str">
        <f aca="false">IF(AND(C68&lt;0,D68&gt;=0),D$3-1+(-C68)/D65,"")</f>
        <v/>
      </c>
      <c r="E70" s="0" t="str">
        <f aca="false">IF(AND(D68&lt;0,E68&gt;=0),E$3-1+(-D68)/E65,"")</f>
        <v/>
      </c>
      <c r="F70" s="0" t="str">
        <f aca="false">IF(AND(E68&lt;0,F68&gt;=0),F$3-1+(-E68)/F65,"")</f>
        <v/>
      </c>
      <c r="G70" s="0" t="str">
        <f aca="false">IF(AND(F68&lt;0,G68&gt;=0),G$3-1+(-F68)/G65,"")</f>
        <v/>
      </c>
    </row>
    <row r="71" customFormat="false" ht="15" hidden="false" customHeight="false" outlineLevel="0" collapsed="false">
      <c r="A71" s="0" t="s">
        <v>333</v>
      </c>
      <c r="C71" s="0" t="str">
        <f aca="false">IF(AND(B69&lt;0,C69&gt;=0),C$3-1+(-B69)/C67,"")</f>
        <v/>
      </c>
      <c r="D71" s="0" t="str">
        <f aca="false">IF(AND(C69&lt;0,D69&gt;=0),D$3-1+(-C69)/D67,"")</f>
        <v/>
      </c>
      <c r="E71" s="0" t="str">
        <f aca="false">IF(AND(D69&lt;0,E69&gt;=0),E$3-1+(-D69)/E67,"")</f>
        <v/>
      </c>
      <c r="F71" s="0" t="str">
        <f aca="false">IF(AND(E69&lt;0,F69&gt;=0),F$3-1+(-E69)/F67,"")</f>
        <v/>
      </c>
      <c r="G71" s="0" t="str">
        <f aca="false">IF(AND(F69&lt;0,G69&gt;=0),G$3-1+(-F69)/G67,"")</f>
        <v/>
      </c>
    </row>
    <row r="73" customFormat="false" ht="15" hidden="false" customHeight="false" outlineLevel="0" collapsed="false">
      <c r="A73" s="1" t="s">
        <v>334</v>
      </c>
    </row>
    <row r="74" customFormat="false" ht="15" hidden="false" customHeight="false" outlineLevel="0" collapsed="false">
      <c r="A74" s="0" t="s">
        <v>236</v>
      </c>
      <c r="B74" s="0" t="n">
        <f aca="false">SUM(B67:G67)</f>
        <v>-94161.0656562552</v>
      </c>
    </row>
    <row r="75" customFormat="false" ht="15" hidden="false" customHeight="false" outlineLevel="0" collapsed="false">
      <c r="A75" s="0" t="s">
        <v>237</v>
      </c>
      <c r="B75" s="2" t="str">
        <f aca="false">IFERROR(IRR(B65:G65),"no definida")</f>
        <v>no definida</v>
      </c>
    </row>
    <row r="76" customFormat="false" ht="15" hidden="false" customHeight="false" outlineLevel="0" collapsed="false">
      <c r="A76" s="0" t="s">
        <v>238</v>
      </c>
      <c r="B76" s="0" t="str">
        <f aca="false">IF(COUNT(C70:G70)=0,"no se recupera",MIN(C70:G70))</f>
        <v>no se recupera</v>
      </c>
    </row>
    <row r="77" customFormat="false" ht="15" hidden="false" customHeight="false" outlineLevel="0" collapsed="false">
      <c r="A77" s="0" t="s">
        <v>239</v>
      </c>
      <c r="B77" s="0" t="str">
        <f aca="false">IF(COUNT(C71:G71)=0,"no se recupera",MIN(C71:G71))</f>
        <v>no se recupera</v>
      </c>
    </row>
    <row r="78" customFormat="false" ht="15" hidden="false" customHeight="false" outlineLevel="0" collapsed="false">
      <c r="A78" s="0" t="s">
        <v>242</v>
      </c>
      <c r="B78" s="0" t="n">
        <f aca="false">SUM(B67:G67)+MAX(0,G65-G62)*(1+crecimiento_perpetuo)/(tasa_descuento-crecimiento_perpetuo)/(1+tasa_descuento)^5</f>
        <v>-94161.0656562552</v>
      </c>
    </row>
    <row r="79" customFormat="false" ht="15" hidden="false" customHeight="false" outlineLevel="0" collapsed="false">
      <c r="A79" s="0" t="s">
        <v>241</v>
      </c>
      <c r="B79" s="0" t="n">
        <f aca="false">IFERROR(G45/G36,"no definido")</f>
        <v>5600</v>
      </c>
    </row>
    <row r="80" customFormat="false" ht="15" hidden="false" customHeight="false" outlineLevel="0" collapsed="false">
      <c r="A80" s="0" t="s">
        <v>240</v>
      </c>
      <c r="B80" s="0" t="n">
        <f aca="false">IFERROR(ROUNDUP(G54/B79,0),"no definido")</f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2026-10-20T23:14:07Z</dcterms:created>
  <dc:creator>openpyxl</dc:creator>
  <dc:description/>
  <dc:language>es-ES</dc:language>
  <cp:lastModifiedBy/>
  <dcterms:modified xsi:type="dcterms:W3CDTF">2026-10-20T23:14:07Z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