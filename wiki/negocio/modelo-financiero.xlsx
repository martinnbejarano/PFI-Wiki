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Supuestos!$D$24</definedName>
    <definedName function="false" hidden="false" name="analisis_por_ua_mes" vbProcedure="false">Supuestos!$E$70:$G$70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Supuestos!$E$89:$G$89</definedName>
    <definedName function="false" hidden="false" name="busquedas" vbProcedure="false">Supuestos!$E$63:$G$63</definedName>
    <definedName function="false" hidden="false" name="capt_agencias" vbProcedure="false">Supuestos!$E$95:$G$95</definedName>
    <definedName function="false" hidden="false" name="capt_medios_chicos" vbProcedure="false">Supuestos!$E$91:$G$91</definedName>
    <definedName function="false" hidden="false" name="capt_medios_grandes" vbProcedure="false">Supuestos!$E$90:$G$90</definedName>
    <definedName function="false" hidden="false" name="capt_organismos" vbProcedure="false">Supuestos!$E$94:$G$94</definedName>
    <definedName function="false" hidden="false" name="capt_universidades" vbProcedure="false">Supuestos!$E$93:$G$93</definedName>
    <definedName function="false" hidden="false" name="capt_verificadores" vbProcedure="false">Supuestos!$E$92:$G$92</definedName>
    <definedName function="false" hidden="false" name="churn_agencias" vbProcedure="false">Supuestos!$E$100:$G$100</definedName>
    <definedName function="false" hidden="false" name="churn_medios_chicos" vbProcedure="false">Supuestos!$E$97:$G$97</definedName>
    <definedName function="false" hidden="false" name="churn_medios_grandes" vbProcedure="false">Supuestos!$E$96:$G$96</definedName>
    <definedName function="false" hidden="false" name="churn_universidades" vbProcedure="false">Supuestos!$E$99:$G$99</definedName>
    <definedName function="false" hidden="false" name="churn_verificadores" vbProcedure="false">Supuestos!$E$98:$G$98</definedName>
    <definedName function="false" hidden="false" name="consultas_ent_mes" vbProcedure="false">Supuestos!$E$74:$G$74</definedName>
    <definedName function="false" hidden="false" name="consultas_pro_mes" vbProcedure="false">Supuestos!$E$73:$G$73</definedName>
    <definedName function="false" hidden="false" name="costo_analisis" vbProcedure="false">Supuestos!$E$64:$G$64</definedName>
    <definedName function="false" hidden="false" name="dominio_anual" vbProcedure="false">Supuestos!$D$41</definedName>
    <definedName function="false" hidden="false" name="horas_anio" vbProcedure="false">Supuestos!$D$44</definedName>
    <definedName function="false" hidden="false" name="horizonte" vbProcedure="false">Supuestos!$D$5</definedName>
    <definedName function="false" hidden="false" name="hosting_cpu" vbProcedure="false">Supuestos!$D$42</definedName>
    <definedName function="false" hidden="false" name="hosting_gpu" vbProcedure="false">Supuestos!$D$43</definedName>
    <definedName function="false" hidden="false" name="hosting_gpu_activo" vbProcedure="false">Supuestos!$E$45:$G$49</definedName>
    <definedName function="false" hidden="false" name="infra_base" vbProcedure="false">Supuestos!$D$38</definedName>
    <definedName function="false" hidden="false" name="infra_escalado" vbProcedure="false">Supuestos!$D$39</definedName>
    <definedName function="false" hidden="false" name="infra_hf_pro" vbProcedure="false">Supuestos!$D$37</definedName>
    <definedName function="false" hidden="false" name="infra_railway" vbProcedure="false">Supuestos!$D$35</definedName>
    <definedName function="false" hidden="false" name="infra_vercel" vbProcedure="false">Supuestos!$D$36</definedName>
    <definedName function="false" hidden="false" name="inv_chrome_web_store" vbProcedure="false">Supuestos!$D$30</definedName>
    <definedName function="false" hidden="false" name="inv_dominio" vbProcedure="false">Supuestos!$D$29</definedName>
    <definedName function="false" hidden="false" name="inv_infraestructura_0" vbProcedure="false">Supuestos!$D$28</definedName>
    <definedName function="false" hidden="false" name="inv_legal" vbProcedure="false">Supuestos!$D$32</definedName>
    <definedName function="false" hidden="false" name="inv_marca_inpi" vbProcedure="false">Supuestos!$D$31</definedName>
    <definedName function="false" hidden="false" name="marketing" vbProcedure="false">Supuestos!$E$50:$G$54</definedName>
    <definedName function="false" hidden="false" name="meses_anio" vbProcedure="false">Supuestos!$D$7</definedName>
    <definedName function="false" hidden="false" name="meses_anio_0" vbProcedure="false">Supuestos!$D$25</definedName>
    <definedName function="false" hidden="false" name="precio_agencias" vbProcedure="false">Supuestos!$E$88:$G$88</definedName>
    <definedName function="false" hidden="false" name="precio_busqueda" vbProcedure="false">Supuestos!$D$59</definedName>
    <definedName function="false" hidden="false" name="precio_entrada" vbProcedure="false">Supuestos!$D$57</definedName>
    <definedName function="false" hidden="false" name="precio_medios_chicos" vbProcedure="false">Supuestos!$D$84</definedName>
    <definedName function="false" hidden="false" name="precio_medios_grandes" vbProcedure="false">Supuestos!$E$83:$G$83</definedName>
    <definedName function="false" hidden="false" name="precio_organismos" vbProcedure="false">Supuestos!$E$87:$G$87</definedName>
    <definedName function="false" hidden="false" name="precio_salida" vbProcedure="false">Supuestos!$D$58</definedName>
    <definedName function="false" hidden="false" name="precio_universidades" vbProcedure="false">Supuestos!$D$86</definedName>
    <definedName function="false" hidden="false" name="precio_verificadores" vbProcedure="false">Supuestos!$D$85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ueldos_por_anio" vbProcedure="false">Supuestos!$D$23</definedName>
    <definedName function="false" hidden="false" name="sueldo_ars" vbProcedure="false">Supuestos!$D$20</definedName>
    <definedName function="false" hidden="false" name="sueldo_usd" vbProcedure="false">Supuestos!$D$22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Supuestos!$E$72:$G$72</definedName>
    <definedName function="false" hidden="false" name="tc_encuesta" vbProcedure="false">Supuestos!$D$21</definedName>
    <definedName function="false" hidden="false" name="tokens_entrada" vbProcedure="false">Supuestos!$E$61:$G$61</definedName>
    <definedName function="false" hidden="false" name="tokens_por_millon" vbProcedure="false">Supuestos!$D$60</definedName>
    <definedName function="false" hidden="false" name="tokens_salida" vbProcedure="false">Supuestos!$E$62:$G$62</definedName>
    <definedName function="false" hidden="false" name="tope_diario" vbProcedure="false">Supuestos!$D$71</definedName>
    <definedName function="false" hidden="false" name="ua_escalado" vbProcedure="false">Supuestos!$D$40</definedName>
    <definedName function="false" hidden="false" name="usuarios_activos" vbProcedure="false">Supuestos!$E$65:$G$69</definedName>
    <definedName function="false" hidden="false" name="u_agencias" vbProcedure="false">Supuestos!$D$82</definedName>
    <definedName function="false" hidden="false" name="u_medios_chicos" vbProcedure="false">Supuestos!$D$78</definedName>
    <definedName function="false" hidden="false" name="u_medios_grandes" vbProcedure="false">Supuestos!$D$77</definedName>
    <definedName function="false" hidden="false" name="u_organismos" vbProcedure="false">Supuestos!$D$81</definedName>
    <definedName function="false" hidden="false" name="u_universidades" vbProcedure="false">Supuestos!$D$80</definedName>
    <definedName function="false" hidden="false" name="u_verificadores" vbProcedure="false">Supuestos!$D$79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<sst xmlns="http://schemas.openxmlformats.org/spreadsheetml/2006/main" count="553" uniqueCount="293">
  <si>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</si>
  <si>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</si>
  <si>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</si>
  <si>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</si>
  <si>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</si>
  <si>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</si>
  <si>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</si>
  <si>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</si>
  <si>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</si>
  <si>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</si>
  <si>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</si>
  <si>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</si>
  <si>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</si>
  <si>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</si>
  <si>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</si>
  <si>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</si>
  <si>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</si>
  <si>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</si>
  <si>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</si>
  <si>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</si>
  <si>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</si>
  <si>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</si>
  <si>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</si>
  <si>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</si>
  <si>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</si>
  <si>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</si>
  <si>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</si>
  <si>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</si>
  <si>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</si>
  <si>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</si>
  <si>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</si>
  <si>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</si>
  <si>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</si>
  <si>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</si>
  <si>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</si>
  <si>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</si>
  <si>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</si>
  <si>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</si>
  <si>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</si>
  <si>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</si>
  <si>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</si>
  <si>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</si>
  <si>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</si>
  <si>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</si>
  <si>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</si>
  <si>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</si>
  <si>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</si>
  <si>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</si>
  <si>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</si>
  <si>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</si>
  <si>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</si>
  <si>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</si>
  <si>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</si>
  <si>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</si>
  <si>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</si>
  <si>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Cálculo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</si>
  <si>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</si>
  <si>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</si>
  <si>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</si>
  <si>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</si>
  <si>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</si>
  <si>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meses_anio_0</t>
  </si>
  <si>
    <t xml:space="preserve">Meses de desarrollo en el año 0</t>
  </si>
  <si>
    <t xml:space="preserve">Cronograma del PFI</t>
  </si>
  <si>
    <t xml:space="preserve">Inversión del año 0 (además del desarrollo)</t>
  </si>
  <si>
    <t xml:space="preserve">inv_infraestructura_0</t>
  </si>
  <si>
    <t xml:space="preserve">Infraestructura durante el PFI (14 USD/mes × 12)</t>
  </si>
  <si>
    <t xml:space="preserve">USD</t>
  </si>
  <si>
    <t xml:space="preserve">wiki/proyecto/recursos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</si>
  <si>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</si>
  <si>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</si>
  <si>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</si>
  <si>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</si>
  <si>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</si>
  <si>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</si>
  <si>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</si>
  <si>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</si>
  <si>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</si>
  <si>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</si>
  <si>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</si>
  <si>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</si>
  <si>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</si>
  <si>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infra_railway</t>
  </si>
  <si>
    <t xml:space="preserve">Railway Pro</t>
  </si>
  <si>
    <t xml:space="preserve">Railway2026</t>
  </si>
  <si>
    <t xml:space="preserve">infra_vercel</t>
  </si>
  <si>
    <t xml:space="preserve">Vercel Pro</t>
  </si>
  <si>
    <t xml:space="preserve">Vercel2026</t>
  </si>
  <si>
    <t xml:space="preserve">infra_hf_pro</t>
  </si>
  <si>
    <t xml:space="preserve">Hugging Face PRO</t>
  </si>
  <si>
    <t xml:space="preserve">HuggingFace2026</t>
  </si>
  <si>
    <t xml:space="preserve">infra_base</t>
  </si>
  <si>
    <t xml:space="preserve">Base comercial</t>
  </si>
  <si>
    <t xml:space="preserve">Suma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</si>
  <si>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</si>
  <si>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</si>
  <si>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</si>
  <si>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</si>
  <si>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</si>
  <si>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</si>
  <si>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</si>
  <si>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</si>
  <si>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hosting_cpu</t>
  </si>
  <si>
    <t xml:space="preserve">Endpoint de inferencia CPU</t>
  </si>
  <si>
    <t xml:space="preserve">USD/h</t>
  </si>
  <si>
    <t xml:space="preserve">hosting_gpu</t>
  </si>
  <si>
    <t xml:space="preserve">Endpoint de inferencia GPU T4</t>
  </si>
  <si>
    <t xml:space="preserve">horas_anio</t>
  </si>
  <si>
    <t xml:space="preserve">Horas por año</t>
  </si>
  <si>
    <t xml:space="preserve">h</t>
  </si>
  <si>
    <t xml:space="preserve">hosting_gpu_activo</t>
  </si>
  <si>
    <t xml:space="preserve">Año 1: endpoint GPU (1) o CPU (0)</t>
  </si>
  <si>
    <t xml:space="preserve">Año 2: endpoint GPU (1) o CPU (0)</t>
  </si>
  <si>
    <t xml:space="preserve">Año 3: endpoint GPU (1) o CPU (0)</t>
  </si>
  <si>
    <t xml:space="preserve">Año 4: endpoint GPU (1) o CPU (0)</t>
  </si>
  <si>
    <t xml:space="preserve">Año 5: endpoint GPU (1) o CPU (0)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</si>
  <si>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</si>
  <si>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</si>
  <si>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</si>
  <si>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</si>
  <si>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</si>
  <si>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</si>
  <si>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</si>
  <si>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</si>
  <si>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</si>
  <si>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</si>
  <si>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</si>
  <si>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</si>
  <si>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</si>
  <si>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</si>
  <si>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</si>
  <si>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</si>
  <si>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</si>
  <si>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</si>
  <si>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</si>
  <si>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</si>
  <si>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</si>
  <si>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</si>
  <si>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</si>
  <si>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</si>
  <si>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</si>
  <si>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</si>
  <si>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</si>
  <si>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</si>
  <si>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</si>
  <si>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</si>
  <si>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</si>
  <si>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</si>
  <si>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</si>
  <si>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</si>
  <si>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</si>
  <si>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</si>
  <si>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</si>
  <si>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</si>
  <si>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tope_diario</t>
  </si>
  <si>
    <t xml:space="preserve">Tope de análisis por usuario gratuito por día (no restrictivo)</t>
  </si>
  <si>
    <t xml:space="preserve">tasa_reuso</t>
  </si>
  <si>
    <t xml:space="preserve">Análisis servidos desde la caché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</si>
  <si>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</si>
  <si>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</si>
  <si>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</si>
  <si>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</si>
  <si>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</si>
  <si>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</si>
  <si>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u_medios_grandes</t>
  </si>
  <si>
    <t xml:space="preserve">Universo: medios de gran porte</t>
  </si>
  <si>
    <t xml:space="preserve">organizaciones</t>
  </si>
  <si>
    <t xml:space="preserve">ADEPA2026 (corte propio)</t>
  </si>
  <si>
    <t xml:space="preserve">u_medios_chicos</t>
  </si>
  <si>
    <t xml:space="preserve">Universo: resto de medios de ADEPA con sitio web</t>
  </si>
  <si>
    <t xml:space="preserve">ADEPA2026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</si>
  <si>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</si>
  <si>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</si>
  <si>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</si>
  <si>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</si>
  <si>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</si>
  <si>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</si>
  <si>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</si>
  <si>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</si>
  <si>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</si>
  <si>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</si>
  <si>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</si>
  <si>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</si>
  <si>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</si>
  <si>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</si>
  <si>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</si>
  <si>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</si>
  <si>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</si>
  <si>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</si>
  <si>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</si>
  <si>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</si>
  <si>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</si>
  <si>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</si>
  <si>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</si>
  <si>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</si>
  <si>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</si>
  <si>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</si>
  <si>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</si>
  <si>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</si>
  <si>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</si>
  <si>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</si>
  <si>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</si>
  <si>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</si>
  <si>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</si>
  <si>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</si>
  <si>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</si>
  <si>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</si>
  <si>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</si>
  <si>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</si>
  <si>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</si>
  <si>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</si>
  <si>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</si>
  <si>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</si>
  <si>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</si>
  <si>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</si>
  <si>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</si>
  <si>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</si>
  <si>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</si>
  <si>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</si>
  <si>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</si>
  <si>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</si>
  <si>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</si>
  <si>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</si>
  <si>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</si>
  <si>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</si>
  <si>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</si>
  <si>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</si>
  <si>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</si>
  <si>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</si>
  <si>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</si>
  <si>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</si>
  <si>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</si>
  <si>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</si>
  <si>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</si>
  <si>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</si>
  <si>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</si>
  <si>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</si>
  <si>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</si>
  <si>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</si>
  <si>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</si>
  <si>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</si>
  <si>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</si>
  <si>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</si>
  <si>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</si>
  <si>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</si>
  <si>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</si>
  <si>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</si>
  <si>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</si>
  <si>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</si>
  <si>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</si>
  <si>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</si>
  <si>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</si>
  <si>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</si>
  <si>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</si>
  <si>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</si>
  <si>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</si>
  <si>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</si>
  <si>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</si>
  <si>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</si>
  <si>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</si>
  <si>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</si>
  <si>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</si>
  <si>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</si>
  <si>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</si>
  <si>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</si>
  <si>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</si>
  <si>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</si>
  <si>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</si>
  <si>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</si>
  <si>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</si>
  <si>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</si>
  <si>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</si>
  <si>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</si>
  <si>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</si>
  <si>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senior)</t>
  </si>
  <si>
    <t xml:space="preserve">Costo: infraestructura</t>
  </si>
  <si>
    <t xml:space="preserve">Costo: hosting del modelo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</si>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</sst>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9" customFormat="false" ht="15" hidden="false" customHeight="false" outlineLevel="0" collapsed="false">
      <c r="A19" s="1" t="s">
        <v>44</v>
      </c>
    </row>
    <row r="20" customFormat="false" ht="15" hidden="false" customHeight="false" outlineLevel="0" collapsed="false">
      <c r="A20" s="0" t="s">
        <v>45</v>
      </c>
      <c r="B20" s="0" t="s">
        <v>46</v>
      </c>
      <c r="C20" s="0" t="s">
        <v>47</v>
      </c>
      <c r="D20" s="0" t="n">
        <v>2501629</v>
      </c>
      <c r="H20" s="0" t="s">
        <v>48</v>
      </c>
    </row>
    <row r="21" customFormat="false" ht="15" hidden="false" customHeight="false" outlineLevel="0" collapsed="false">
      <c r="A21" s="0" t="s">
        <v>49</v>
      </c>
      <c r="B21" s="0" t="s">
        <v>50</v>
      </c>
      <c r="C21" s="0" t="s">
        <v>51</v>
      </c>
      <c r="D21" s="0" t="n">
        <v>1397.88</v>
      </c>
      <c r="H21" s="0" t="s">
        <v>48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s">
        <v>54</v>
      </c>
      <c r="D22" s="0" t="n">
        <f aca="false">ROUND(sueldo_ars/tc_encuesta,0)</f>
        <v>1790</v>
      </c>
      <c r="H22" s="0" t="s">
        <v>55</v>
      </c>
    </row>
    <row r="23" customFormat="false" ht="15" hidden="false" customHeight="false" outlineLevel="0" collapsed="false">
      <c r="A23" s="0" t="s">
        <v>56</v>
      </c>
      <c r="B23" s="0" t="s">
        <v>57</v>
      </c>
      <c r="C23" s="0" t="s">
        <v>58</v>
      </c>
      <c r="D23" s="0" t="n">
        <v>13</v>
      </c>
      <c r="H23" s="0" t="s">
        <v>17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s">
        <v>33</v>
      </c>
      <c r="D24" s="0" t="n">
        <v>0.05</v>
      </c>
      <c r="H24" s="0" t="s">
        <v>17</v>
      </c>
    </row>
    <row r="25" customFormat="false" ht="15" hidden="false" customHeight="false" outlineLevel="0" collapsed="false">
      <c r="A25" s="0" t="s">
        <v>61</v>
      </c>
      <c r="B25" s="0" t="s">
        <v>62</v>
      </c>
      <c r="C25" s="0" t="s">
        <v>20</v>
      </c>
      <c r="D25" s="0" t="n">
        <v>10</v>
      </c>
      <c r="H25" s="0" t="s">
        <v>63</v>
      </c>
    </row>
    <row r="27" customFormat="false" ht="15" hidden="false" customHeight="false" outlineLevel="0" collapsed="false">
      <c r="A27" s="1" t="s">
        <v>64</v>
      </c>
    </row>
    <row r="28" customFormat="false" ht="15" hidden="false" customHeight="false" outlineLevel="0" collapsed="false">
      <c r="A28" s="0" t="s">
        <v>65</v>
      </c>
      <c r="B28" s="0" t="s">
        <v>66</v>
      </c>
      <c r="C28" s="0" t="s">
        <v>67</v>
      </c>
      <c r="D28" s="0" t="n">
        <v>168</v>
      </c>
      <c r="H28" s="0" t="s">
        <v>68</v>
      </c>
    </row>
    <row r="29" customFormat="false" ht="15" hidden="false" customHeight="false" outlineLevel="0" collapsed="false">
      <c r="A29" s="0" t="s">
        <v>69</v>
      </c>
      <c r="B29" s="0" t="s">
        <v>70</v>
      </c>
      <c r="C29" s="0" t="s">
        <v>67</v>
      </c>
      <c r="D29" s="0" t="n">
        <v>15</v>
      </c>
      <c r="H29" s="0" t="s">
        <v>71</v>
      </c>
    </row>
    <row r="30" customFormat="false" ht="15" hidden="false" customHeight="false" outlineLevel="0" collapsed="false">
      <c r="A30" s="0" t="s">
        <v>72</v>
      </c>
      <c r="B30" s="0" t="s">
        <v>73</v>
      </c>
      <c r="C30" s="0" t="s">
        <v>67</v>
      </c>
      <c r="D30" s="0" t="n">
        <v>5</v>
      </c>
      <c r="H30" s="0" t="s">
        <v>74</v>
      </c>
    </row>
    <row r="31" customFormat="false" ht="15" hidden="false" customHeight="false" outlineLevel="0" collapsed="false">
      <c r="A31" s="0" t="s">
        <v>75</v>
      </c>
      <c r="B31" s="0" t="s">
        <v>76</v>
      </c>
      <c r="C31" s="0" t="s">
        <v>67</v>
      </c>
      <c r="D31" s="0" t="n">
        <v>53</v>
      </c>
      <c r="H31" s="0" t="s">
        <v>77</v>
      </c>
    </row>
    <row r="32" customFormat="false" ht="15" hidden="false" customHeight="false" outlineLevel="0" collapsed="false">
      <c r="A32" s="0" t="s">
        <v>78</v>
      </c>
      <c r="B32" s="0" t="s">
        <v>79</v>
      </c>
      <c r="C32" s="0" t="s">
        <v>67</v>
      </c>
      <c r="D32" s="0" t="n">
        <v>1500</v>
      </c>
      <c r="H32" s="0" t="s">
        <v>80</v>
      </c>
    </row>
    <row r="34" customFormat="false" ht="15" hidden="false" customHeight="false" outlineLevel="0" collapsed="false">
      <c r="A34" s="1" t="s">
        <v>81</v>
      </c>
    </row>
    <row r="35" customFormat="false" ht="15" hidden="false" customHeight="false" outlineLevel="0" collapsed="false">
      <c r="A35" s="0" t="s">
        <v>82</v>
      </c>
      <c r="B35" s="0" t="s">
        <v>83</v>
      </c>
      <c r="C35" s="0" t="s">
        <v>54</v>
      </c>
      <c r="D35" s="0" t="n">
        <v>20</v>
      </c>
      <c r="H35" s="0" t="s">
        <v>84</v>
      </c>
    </row>
    <row r="36" customFormat="false" ht="15" hidden="false" customHeight="false" outlineLevel="0" collapsed="false">
      <c r="A36" s="0" t="s">
        <v>85</v>
      </c>
      <c r="B36" s="0" t="s">
        <v>86</v>
      </c>
      <c r="C36" s="0" t="s">
        <v>54</v>
      </c>
      <c r="D36" s="0" t="n">
        <v>20</v>
      </c>
      <c r="H36" s="0" t="s">
        <v>87</v>
      </c>
    </row>
    <row r="37" customFormat="false" ht="15" hidden="false" customHeight="false" outlineLevel="0" collapsed="false">
      <c r="A37" s="0" t="s">
        <v>88</v>
      </c>
      <c r="B37" s="0" t="s">
        <v>89</v>
      </c>
      <c r="C37" s="0" t="s">
        <v>54</v>
      </c>
      <c r="D37" s="0" t="n">
        <v>9</v>
      </c>
      <c r="H37" s="0" t="s">
        <v>90</v>
      </c>
    </row>
    <row r="38" customFormat="false" ht="15" hidden="false" customHeight="false" outlineLevel="0" collapsed="false">
      <c r="A38" s="0" t="s">
        <v>91</v>
      </c>
      <c r="B38" s="0" t="s">
        <v>92</v>
      </c>
      <c r="C38" s="0" t="s">
        <v>54</v>
      </c>
      <c r="D38" s="0" t="n">
        <f aca="false">infra_railway+infra_vercel+infra_hf_pro</f>
        <v>49</v>
      </c>
      <c r="H38" s="0" t="s">
        <v>93</v>
      </c>
    </row>
    <row r="39" customFormat="false" ht="15" hidden="false" customHeight="false" outlineLevel="0" collapsed="false">
      <c r="A39" s="0" t="s">
        <v>94</v>
      </c>
      <c r="B39" s="0" t="s">
        <v>95</v>
      </c>
      <c r="C39" s="0" t="s">
        <v>54</v>
      </c>
      <c r="D39" s="0" t="n">
        <v>10</v>
      </c>
      <c r="H39" s="0" t="s">
        <v>80</v>
      </c>
    </row>
    <row r="40" customFormat="false" ht="15" hidden="false" customHeight="false" outlineLevel="0" collapsed="false">
      <c r="A40" s="0" t="s">
        <v>96</v>
      </c>
      <c r="B40" s="0" t="s">
        <v>97</v>
      </c>
      <c r="C40" s="0" t="s">
        <v>98</v>
      </c>
      <c r="D40" s="0" t="n">
        <v>10000</v>
      </c>
      <c r="H40" s="0" t="s">
        <v>17</v>
      </c>
    </row>
    <row r="41" customFormat="false" ht="15" hidden="false" customHeight="false" outlineLevel="0" collapsed="false">
      <c r="A41" s="0" t="s">
        <v>99</v>
      </c>
      <c r="B41" s="0" t="s">
        <v>100</v>
      </c>
      <c r="C41" s="0" t="s">
        <v>101</v>
      </c>
      <c r="D41" s="0" t="n">
        <v>15</v>
      </c>
      <c r="H41" s="0" t="s">
        <v>71</v>
      </c>
    </row>
    <row r="42" customFormat="false" ht="15" hidden="false" customHeight="false" outlineLevel="0" collapsed="false">
      <c r="A42" s="0" t="s">
        <v>102</v>
      </c>
      <c r="B42" s="0" t="s">
        <v>103</v>
      </c>
      <c r="C42" s="0" t="s">
        <v>104</v>
      </c>
      <c r="D42" s="0" t="n">
        <v>0.03</v>
      </c>
      <c r="H42" s="0" t="s">
        <v>90</v>
      </c>
    </row>
    <row r="43" customFormat="false" ht="15" hidden="false" customHeight="false" outlineLevel="0" collapsed="false">
      <c r="A43" s="0" t="s">
        <v>105</v>
      </c>
      <c r="B43" s="0" t="s">
        <v>106</v>
      </c>
      <c r="C43" s="0" t="s">
        <v>104</v>
      </c>
      <c r="D43" s="0" t="n">
        <v>0.5</v>
      </c>
      <c r="H43" s="0" t="s">
        <v>90</v>
      </c>
    </row>
    <row r="44" customFormat="false" ht="15" hidden="false" customHeight="false" outlineLevel="0" collapsed="false">
      <c r="A44" s="0" t="s">
        <v>107</v>
      </c>
      <c r="B44" s="0" t="s">
        <v>108</v>
      </c>
      <c r="C44" s="0" t="s">
        <v>109</v>
      </c>
      <c r="D44" s="0" t="n">
        <v>8760</v>
      </c>
      <c r="H44" s="0" t="s">
        <v>21</v>
      </c>
    </row>
    <row r="45" customFormat="false" ht="15" hidden="false" customHeight="false" outlineLevel="0" collapsed="false">
      <c r="A45" s="0" t="s">
        <v>110</v>
      </c>
      <c r="B45" s="0" t="s">
        <v>111</v>
      </c>
      <c r="C45" s="0" t="s">
        <v>24</v>
      </c>
      <c r="E45" s="0" t="n">
        <v>0</v>
      </c>
      <c r="F45" s="0" t="n">
        <v>0</v>
      </c>
      <c r="G45" s="0" t="n">
        <v>0</v>
      </c>
      <c r="H45" s="0" t="s">
        <v>17</v>
      </c>
    </row>
    <row r="46" customFormat="false" ht="15" hidden="false" customHeight="false" outlineLevel="0" collapsed="false">
      <c r="B46" s="0" t="s">
        <v>112</v>
      </c>
      <c r="C46" s="0" t="s">
        <v>24</v>
      </c>
      <c r="E46" s="0" t="n">
        <v>1</v>
      </c>
      <c r="F46" s="0" t="n">
        <v>0</v>
      </c>
      <c r="G46" s="0" t="n">
        <v>0</v>
      </c>
      <c r="H46" s="0" t="s">
        <v>17</v>
      </c>
    </row>
    <row r="47" customFormat="false" ht="15" hidden="false" customHeight="false" outlineLevel="0" collapsed="false">
      <c r="B47" s="0" t="s">
        <v>113</v>
      </c>
      <c r="C47" s="0" t="s">
        <v>24</v>
      </c>
      <c r="E47" s="0" t="n">
        <v>1</v>
      </c>
      <c r="F47" s="0" t="n">
        <v>1</v>
      </c>
      <c r="G47" s="0" t="n">
        <v>0</v>
      </c>
      <c r="H47" s="0" t="s">
        <v>17</v>
      </c>
    </row>
    <row r="48" customFormat="false" ht="15" hidden="false" customHeight="false" outlineLevel="0" collapsed="false">
      <c r="B48" s="0" t="s">
        <v>114</v>
      </c>
      <c r="C48" s="0" t="s">
        <v>24</v>
      </c>
      <c r="E48" s="0" t="n">
        <v>1</v>
      </c>
      <c r="F48" s="0" t="n">
        <v>1</v>
      </c>
      <c r="G48" s="0" t="n">
        <v>0</v>
      </c>
      <c r="H48" s="0" t="s">
        <v>17</v>
      </c>
    </row>
    <row r="49" customFormat="false" ht="15" hidden="false" customHeight="false" outlineLevel="0" collapsed="false">
      <c r="B49" s="0" t="s">
        <v>115</v>
      </c>
      <c r="C49" s="0" t="s">
        <v>24</v>
      </c>
      <c r="E49" s="0" t="n">
        <v>1</v>
      </c>
      <c r="F49" s="0" t="n">
        <v>1</v>
      </c>
      <c r="G49" s="0" t="n">
        <v>0</v>
      </c>
      <c r="H49" s="0" t="s">
        <v>17</v>
      </c>
    </row>
    <row r="50" customFormat="false" ht="15" hidden="false" customHeight="false" outlineLevel="0" collapsed="false">
      <c r="A50" s="0" t="s">
        <v>116</v>
      </c>
      <c r="B50" s="0" t="s">
        <v>117</v>
      </c>
      <c r="C50" s="0" t="s">
        <v>101</v>
      </c>
      <c r="E50" s="0" t="n">
        <v>6000</v>
      </c>
      <c r="F50" s="0" t="n">
        <v>4000</v>
      </c>
      <c r="G50" s="0" t="n">
        <v>2000</v>
      </c>
      <c r="H50" s="0" t="s">
        <v>17</v>
      </c>
    </row>
    <row r="51" customFormat="false" ht="15" hidden="false" customHeight="false" outlineLevel="0" collapsed="false">
      <c r="B51" s="0" t="s">
        <v>118</v>
      </c>
      <c r="C51" s="0" t="s">
        <v>101</v>
      </c>
      <c r="E51" s="0" t="n">
        <v>9000</v>
      </c>
      <c r="F51" s="0" t="n">
        <v>6000</v>
      </c>
      <c r="G51" s="0" t="n">
        <v>3000</v>
      </c>
      <c r="H51" s="0" t="s">
        <v>17</v>
      </c>
    </row>
    <row r="52" customFormat="false" ht="15" hidden="false" customHeight="false" outlineLevel="0" collapsed="false">
      <c r="B52" s="0" t="s">
        <v>119</v>
      </c>
      <c r="C52" s="0" t="s">
        <v>101</v>
      </c>
      <c r="E52" s="0" t="n">
        <v>12000</v>
      </c>
      <c r="F52" s="0" t="n">
        <v>8000</v>
      </c>
      <c r="G52" s="0" t="n">
        <v>4000</v>
      </c>
      <c r="H52" s="0" t="s">
        <v>17</v>
      </c>
    </row>
    <row r="53" customFormat="false" ht="15" hidden="false" customHeight="false" outlineLevel="0" collapsed="false">
      <c r="B53" s="0" t="s">
        <v>120</v>
      </c>
      <c r="C53" s="0" t="s">
        <v>101</v>
      </c>
      <c r="E53" s="0" t="n">
        <v>15000</v>
      </c>
      <c r="F53" s="0" t="n">
        <v>10000</v>
      </c>
      <c r="G53" s="0" t="n">
        <v>5000</v>
      </c>
      <c r="H53" s="0" t="s">
        <v>17</v>
      </c>
    </row>
    <row r="54" customFormat="false" ht="15" hidden="false" customHeight="false" outlineLevel="0" collapsed="false">
      <c r="B54" s="0" t="s">
        <v>121</v>
      </c>
      <c r="C54" s="0" t="s">
        <v>101</v>
      </c>
      <c r="E54" s="0" t="n">
        <v>18000</v>
      </c>
      <c r="F54" s="0" t="n">
        <v>12000</v>
      </c>
      <c r="G54" s="0" t="n">
        <v>6000</v>
      </c>
      <c r="H54" s="0" t="s">
        <v>17</v>
      </c>
    </row>
    <row r="56" customFormat="false" ht="15" hidden="false" customHeight="false" outlineLevel="0" collapsed="false">
      <c r="A56" s="1" t="s">
        <v>122</v>
      </c>
    </row>
    <row r="57" customFormat="false" ht="15" hidden="false" customHeight="false" outlineLevel="0" collapsed="false">
      <c r="A57" s="0" t="s">
        <v>123</v>
      </c>
      <c r="B57" s="0" t="s">
        <v>124</v>
      </c>
      <c r="C57" s="0" t="s">
        <v>125</v>
      </c>
      <c r="D57" s="0" t="n">
        <v>0.2</v>
      </c>
      <c r="H57" s="0" t="s">
        <v>126</v>
      </c>
    </row>
    <row r="58" customFormat="false" ht="15" hidden="false" customHeight="false" outlineLevel="0" collapsed="false">
      <c r="A58" s="0" t="s">
        <v>127</v>
      </c>
      <c r="B58" s="0" t="s">
        <v>128</v>
      </c>
      <c r="C58" s="0" t="s">
        <v>125</v>
      </c>
      <c r="D58" s="0" t="n">
        <v>1.2</v>
      </c>
      <c r="H58" s="0" t="s">
        <v>126</v>
      </c>
    </row>
    <row r="59" customFormat="false" ht="15" hidden="false" customHeight="false" outlineLevel="0" collapsed="false">
      <c r="A59" s="0" t="s">
        <v>129</v>
      </c>
      <c r="B59" s="0" t="s">
        <v>130</v>
      </c>
      <c r="C59" s="0" t="s">
        <v>131</v>
      </c>
      <c r="D59" s="0" t="n">
        <v>0.01</v>
      </c>
      <c r="H59" s="0" t="s">
        <v>126</v>
      </c>
    </row>
    <row r="60" customFormat="false" ht="15" hidden="false" customHeight="false" outlineLevel="0" collapsed="false">
      <c r="A60" s="0" t="s">
        <v>132</v>
      </c>
      <c r="B60" s="0" t="s">
        <v>133</v>
      </c>
      <c r="C60" s="0" t="s">
        <v>134</v>
      </c>
      <c r="D60" s="0" t="n">
        <v>1000000</v>
      </c>
      <c r="H60" s="0" t="s">
        <v>21</v>
      </c>
    </row>
    <row r="61" customFormat="false" ht="15" hidden="false" customHeight="false" outlineLevel="0" collapsed="false">
      <c r="A61" s="0" t="s">
        <v>135</v>
      </c>
      <c r="B61" s="0" t="s">
        <v>136</v>
      </c>
      <c r="C61" s="0" t="s">
        <v>134</v>
      </c>
      <c r="E61" s="0" t="n">
        <v>6220</v>
      </c>
      <c r="F61" s="0" t="n">
        <v>11220</v>
      </c>
      <c r="G61" s="0" t="n">
        <v>18220</v>
      </c>
      <c r="H61" s="0" t="s">
        <v>137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134</v>
      </c>
      <c r="E62" s="0" t="n">
        <v>1250</v>
      </c>
      <c r="F62" s="0" t="n">
        <v>2000</v>
      </c>
      <c r="G62" s="0" t="n">
        <v>3600</v>
      </c>
      <c r="H62" s="0" t="s">
        <v>137</v>
      </c>
    </row>
    <row r="63" customFormat="false" ht="15" hidden="false" customHeight="false" outlineLevel="0" collapsed="false">
      <c r="A63" s="0" t="s">
        <v>140</v>
      </c>
      <c r="B63" s="0" t="s">
        <v>141</v>
      </c>
      <c r="C63" s="0" t="s">
        <v>142</v>
      </c>
      <c r="E63" s="0" t="n">
        <v>1</v>
      </c>
      <c r="F63" s="0" t="n">
        <v>2</v>
      </c>
      <c r="G63" s="0" t="n">
        <v>3</v>
      </c>
      <c r="H63" s="0" t="s">
        <v>137</v>
      </c>
    </row>
    <row r="64" customFormat="false" ht="15" hidden="false" customHeight="false" outlineLevel="0" collapsed="false">
      <c r="A64" s="0" t="s">
        <v>143</v>
      </c>
      <c r="B64" s="0" t="s">
        <v>144</v>
      </c>
      <c r="C64" s="0" t="s">
        <v>67</v>
      </c>
      <c r="E64" s="0" t="n">
        <f aca="false">(E61*precio_entrada+E62*precio_salida)/tokens_por_millon+E63*precio_busqueda</f>
        <v>0.012744</v>
      </c>
      <c r="F64" s="0" t="n">
        <f aca="false">(F61*precio_entrada+F62*precio_salida)/tokens_por_millon+F63*precio_busqueda</f>
        <v>0.024644</v>
      </c>
      <c r="G64" s="0" t="n">
        <f aca="false">(G61*precio_entrada+G62*precio_salida)/tokens_por_millon+G63*precio_busqueda</f>
        <v>0.037964</v>
      </c>
      <c r="H64" s="0" t="s">
        <v>55</v>
      </c>
    </row>
    <row r="65" customFormat="false" ht="15" hidden="false" customHeight="false" outlineLevel="0" collapsed="false">
      <c r="A65" s="0" t="s">
        <v>145</v>
      </c>
      <c r="B65" s="0" t="s">
        <v>146</v>
      </c>
      <c r="C65" s="0" t="s">
        <v>98</v>
      </c>
      <c r="E65" s="0" t="n">
        <v>5000</v>
      </c>
      <c r="F65" s="0" t="n">
        <v>2000</v>
      </c>
      <c r="G65" s="0" t="n">
        <v>500</v>
      </c>
      <c r="H65" s="0" t="s">
        <v>17</v>
      </c>
    </row>
    <row r="66" customFormat="false" ht="15" hidden="false" customHeight="false" outlineLevel="0" collapsed="false">
      <c r="B66" s="0" t="s">
        <v>147</v>
      </c>
      <c r="C66" s="0" t="s">
        <v>98</v>
      </c>
      <c r="E66" s="0" t="n">
        <v>20000</v>
      </c>
      <c r="F66" s="0" t="n">
        <v>8000</v>
      </c>
      <c r="G66" s="0" t="n">
        <v>2000</v>
      </c>
      <c r="H66" s="0" t="s">
        <v>17</v>
      </c>
    </row>
    <row r="67" customFormat="false" ht="15" hidden="false" customHeight="false" outlineLevel="0" collapsed="false">
      <c r="B67" s="0" t="s">
        <v>148</v>
      </c>
      <c r="C67" s="0" t="s">
        <v>98</v>
      </c>
      <c r="E67" s="0" t="n">
        <v>50000</v>
      </c>
      <c r="F67" s="0" t="n">
        <v>20000</v>
      </c>
      <c r="G67" s="0" t="n">
        <v>5000</v>
      </c>
      <c r="H67" s="0" t="s">
        <v>17</v>
      </c>
    </row>
    <row r="68" customFormat="false" ht="15" hidden="false" customHeight="false" outlineLevel="0" collapsed="false">
      <c r="B68" s="0" t="s">
        <v>149</v>
      </c>
      <c r="C68" s="0" t="s">
        <v>98</v>
      </c>
      <c r="E68" s="0" t="n">
        <v>100000</v>
      </c>
      <c r="F68" s="0" t="n">
        <v>40000</v>
      </c>
      <c r="G68" s="0" t="n">
        <v>8000</v>
      </c>
      <c r="H68" s="0" t="s">
        <v>17</v>
      </c>
    </row>
    <row r="69" customFormat="false" ht="15" hidden="false" customHeight="false" outlineLevel="0" collapsed="false">
      <c r="B69" s="0" t="s">
        <v>150</v>
      </c>
      <c r="C69" s="0" t="s">
        <v>98</v>
      </c>
      <c r="E69" s="0" t="n">
        <v>150000</v>
      </c>
      <c r="F69" s="0" t="n">
        <v>60000</v>
      </c>
      <c r="G69" s="0" t="n">
        <v>10000</v>
      </c>
      <c r="H69" s="0" t="s">
        <v>17</v>
      </c>
    </row>
    <row r="70" customFormat="false" ht="15" hidden="false" customHeight="false" outlineLevel="0" collapsed="false">
      <c r="A70" s="0" t="s">
        <v>151</v>
      </c>
      <c r="B70" s="0" t="s">
        <v>152</v>
      </c>
      <c r="C70" s="0" t="s">
        <v>153</v>
      </c>
      <c r="E70" s="0" t="n">
        <v>20</v>
      </c>
      <c r="F70" s="0" t="n">
        <v>12</v>
      </c>
      <c r="G70" s="0" t="n">
        <v>6</v>
      </c>
      <c r="H70" s="0" t="s">
        <v>17</v>
      </c>
    </row>
    <row r="71" customFormat="false" ht="15" hidden="false" customHeight="false" outlineLevel="0" collapsed="false">
      <c r="A71" s="0" t="s">
        <v>154</v>
      </c>
      <c r="B71" s="0" t="s">
        <v>155</v>
      </c>
      <c r="C71" s="0" t="s">
        <v>153</v>
      </c>
      <c r="D71" s="0" t="n">
        <v>20</v>
      </c>
      <c r="H71" s="0" t="s">
        <v>17</v>
      </c>
    </row>
    <row r="72" customFormat="false" ht="15" hidden="false" customHeight="false" outlineLevel="0" collapsed="false">
      <c r="A72" s="0" t="s">
        <v>156</v>
      </c>
      <c r="B72" s="0" t="s">
        <v>157</v>
      </c>
      <c r="C72" s="0" t="s">
        <v>33</v>
      </c>
      <c r="E72" s="0" t="n">
        <v>0.3</v>
      </c>
      <c r="F72" s="0" t="n">
        <v>0.2</v>
      </c>
      <c r="G72" s="0" t="n">
        <v>0.1</v>
      </c>
      <c r="H72" s="0" t="s">
        <v>17</v>
      </c>
    </row>
    <row r="73" customFormat="false" ht="15" hidden="false" customHeight="false" outlineLevel="0" collapsed="false">
      <c r="A73" s="0" t="s">
        <v>158</v>
      </c>
      <c r="B73" s="0" t="s">
        <v>159</v>
      </c>
      <c r="C73" s="0" t="s">
        <v>160</v>
      </c>
      <c r="E73" s="0" t="n">
        <v>2000</v>
      </c>
      <c r="F73" s="0" t="n">
        <v>4000</v>
      </c>
      <c r="G73" s="0" t="n">
        <v>8000</v>
      </c>
      <c r="H73" s="0" t="s">
        <v>17</v>
      </c>
    </row>
    <row r="74" customFormat="false" ht="15" hidden="false" customHeight="false" outlineLevel="0" collapsed="false">
      <c r="A74" s="0" t="s">
        <v>161</v>
      </c>
      <c r="B74" s="0" t="s">
        <v>162</v>
      </c>
      <c r="C74" s="0" t="s">
        <v>160</v>
      </c>
      <c r="E74" s="0" t="n">
        <v>20000</v>
      </c>
      <c r="F74" s="0" t="n">
        <v>40000</v>
      </c>
      <c r="G74" s="0" t="n">
        <v>80000</v>
      </c>
      <c r="H74" s="0" t="s">
        <v>17</v>
      </c>
    </row>
    <row r="76" customFormat="false" ht="15" hidden="false" customHeight="false" outlineLevel="0" collapsed="false">
      <c r="A76" s="1" t="s">
        <v>163</v>
      </c>
    </row>
    <row r="77" customFormat="false" ht="15" hidden="false" customHeight="false" outlineLevel="0" collapsed="false">
      <c r="A77" s="0" t="s">
        <v>164</v>
      </c>
      <c r="B77" s="0" t="s">
        <v>165</v>
      </c>
      <c r="C77" s="0" t="s">
        <v>166</v>
      </c>
      <c r="D77" s="0" t="n">
        <v>10</v>
      </c>
      <c r="H77" s="0" t="s">
        <v>167</v>
      </c>
    </row>
    <row r="78" customFormat="false" ht="15" hidden="false" customHeight="false" outlineLevel="0" collapsed="false">
      <c r="A78" s="0" t="s">
        <v>168</v>
      </c>
      <c r="B78" s="0" t="s">
        <v>169</v>
      </c>
      <c r="C78" s="0" t="s">
        <v>166</v>
      </c>
      <c r="D78" s="0" t="n">
        <v>93</v>
      </c>
      <c r="H78" s="0" t="s">
        <v>170</v>
      </c>
    </row>
    <row r="79" customFormat="false" ht="15" hidden="false" customHeight="false" outlineLevel="0" collapsed="false">
      <c r="A79" s="0" t="s">
        <v>171</v>
      </c>
      <c r="B79" s="0" t="s">
        <v>172</v>
      </c>
      <c r="C79" s="0" t="s">
        <v>166</v>
      </c>
      <c r="D79" s="0" t="n">
        <v>3</v>
      </c>
      <c r="H79" s="0" t="s">
        <v>173</v>
      </c>
    </row>
    <row r="80" customFormat="false" ht="15" hidden="false" customHeight="false" outlineLevel="0" collapsed="false">
      <c r="A80" s="0" t="s">
        <v>174</v>
      </c>
      <c r="B80" s="0" t="s">
        <v>175</v>
      </c>
      <c r="C80" s="0" t="s">
        <v>166</v>
      </c>
      <c r="D80" s="0" t="n">
        <v>149</v>
      </c>
      <c r="H80" s="0" t="s">
        <v>176</v>
      </c>
    </row>
    <row r="81" customFormat="false" ht="15" hidden="false" customHeight="false" outlineLevel="0" collapsed="false">
      <c r="A81" s="0" t="s">
        <v>177</v>
      </c>
      <c r="B81" s="0" t="s">
        <v>178</v>
      </c>
      <c r="C81" s="0" t="s">
        <v>166</v>
      </c>
      <c r="D81" s="0" t="n">
        <v>32</v>
      </c>
      <c r="H81" s="0" t="s">
        <v>179</v>
      </c>
    </row>
    <row r="82" customFormat="false" ht="15" hidden="false" customHeight="false" outlineLevel="0" collapsed="false">
      <c r="A82" s="0" t="s">
        <v>180</v>
      </c>
      <c r="B82" s="0" t="s">
        <v>181</v>
      </c>
      <c r="C82" s="0" t="s">
        <v>166</v>
      </c>
      <c r="D82" s="0" t="n">
        <v>120</v>
      </c>
      <c r="H82" s="0" t="s">
        <v>182</v>
      </c>
    </row>
    <row r="83" customFormat="false" ht="15" hidden="false" customHeight="false" outlineLevel="0" collapsed="false">
      <c r="A83" s="0" t="s">
        <v>183</v>
      </c>
      <c r="B83" s="0" t="s">
        <v>184</v>
      </c>
      <c r="C83" s="0" t="s">
        <v>54</v>
      </c>
      <c r="E83" s="0" t="n">
        <v>3000</v>
      </c>
      <c r="F83" s="0" t="n">
        <v>2500</v>
      </c>
      <c r="G83" s="0" t="n">
        <v>1500</v>
      </c>
      <c r="H83" s="0" t="s">
        <v>185</v>
      </c>
    </row>
    <row r="84" customFormat="false" ht="15" hidden="false" customHeight="false" outlineLevel="0" collapsed="false">
      <c r="A84" s="0" t="s">
        <v>186</v>
      </c>
      <c r="B84" s="0" t="s">
        <v>187</v>
      </c>
      <c r="C84" s="0" t="s">
        <v>54</v>
      </c>
      <c r="D84" s="0" t="n">
        <v>200</v>
      </c>
      <c r="H84" s="0" t="s">
        <v>185</v>
      </c>
    </row>
    <row r="85" customFormat="false" ht="15" hidden="false" customHeight="false" outlineLevel="0" collapsed="false">
      <c r="A85" s="0" t="s">
        <v>188</v>
      </c>
      <c r="B85" s="0" t="s">
        <v>189</v>
      </c>
      <c r="C85" s="0" t="s">
        <v>54</v>
      </c>
      <c r="D85" s="0" t="n">
        <v>500</v>
      </c>
      <c r="H85" s="0" t="s">
        <v>185</v>
      </c>
    </row>
    <row r="86" customFormat="false" ht="15" hidden="false" customHeight="false" outlineLevel="0" collapsed="false">
      <c r="A86" s="0" t="s">
        <v>190</v>
      </c>
      <c r="B86" s="0" t="s">
        <v>191</v>
      </c>
      <c r="C86" s="0" t="s">
        <v>54</v>
      </c>
      <c r="D86" s="0" t="n">
        <v>100</v>
      </c>
      <c r="H86" s="0" t="s">
        <v>185</v>
      </c>
    </row>
    <row r="87" customFormat="false" ht="15" hidden="false" customHeight="false" outlineLevel="0" collapsed="false">
      <c r="A87" s="0" t="s">
        <v>192</v>
      </c>
      <c r="B87" s="0" t="s">
        <v>193</v>
      </c>
      <c r="C87" s="0" t="s">
        <v>194</v>
      </c>
      <c r="E87" s="0" t="n">
        <v>30000</v>
      </c>
      <c r="F87" s="0" t="n">
        <v>20000</v>
      </c>
      <c r="G87" s="0" t="n">
        <v>10000</v>
      </c>
      <c r="H87" s="0" t="s">
        <v>185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54</v>
      </c>
      <c r="E88" s="0" t="n">
        <v>3000</v>
      </c>
      <c r="F88" s="0" t="n">
        <v>2500</v>
      </c>
      <c r="G88" s="0" t="n">
        <v>1500</v>
      </c>
      <c r="H88" s="0" t="s">
        <v>185</v>
      </c>
    </row>
    <row r="89" customFormat="false" ht="15" hidden="false" customHeight="false" outlineLevel="0" collapsed="false">
      <c r="A89" s="0" t="s">
        <v>197</v>
      </c>
      <c r="B89" s="0" t="s">
        <v>198</v>
      </c>
      <c r="C89" s="0" t="s">
        <v>16</v>
      </c>
      <c r="E89" s="0" t="n">
        <v>1</v>
      </c>
      <c r="F89" s="0" t="n">
        <v>2</v>
      </c>
      <c r="G89" s="0" t="n">
        <v>3</v>
      </c>
      <c r="H89" s="0" t="s">
        <v>17</v>
      </c>
    </row>
    <row r="90" customFormat="false" ht="15" hidden="false" customHeight="false" outlineLevel="0" collapsed="false">
      <c r="A90" s="0" t="s">
        <v>199</v>
      </c>
      <c r="B90" s="0" t="s">
        <v>200</v>
      </c>
      <c r="C90" s="0" t="s">
        <v>33</v>
      </c>
      <c r="E90" s="0" t="n">
        <v>0.2</v>
      </c>
      <c r="F90" s="0" t="n">
        <v>0.1</v>
      </c>
      <c r="G90" s="0" t="n">
        <v>0.05</v>
      </c>
      <c r="H90" s="0" t="s">
        <v>17</v>
      </c>
    </row>
    <row r="91" customFormat="false" ht="15" hidden="false" customHeight="false" outlineLevel="0" collapsed="false">
      <c r="A91" s="0" t="s">
        <v>201</v>
      </c>
      <c r="B91" s="0" t="s">
        <v>202</v>
      </c>
      <c r="C91" s="0" t="s">
        <v>33</v>
      </c>
      <c r="E91" s="0" t="n">
        <v>0.1</v>
      </c>
      <c r="F91" s="0" t="n">
        <v>0.05</v>
      </c>
      <c r="G91" s="0" t="n">
        <v>0.02</v>
      </c>
      <c r="H91" s="0" t="s">
        <v>17</v>
      </c>
    </row>
    <row r="92" customFormat="false" ht="15" hidden="false" customHeight="false" outlineLevel="0" collapsed="false">
      <c r="A92" s="0" t="s">
        <v>203</v>
      </c>
      <c r="B92" s="0" t="s">
        <v>204</v>
      </c>
      <c r="C92" s="0" t="s">
        <v>33</v>
      </c>
      <c r="E92" s="0" t="n">
        <v>0.4</v>
      </c>
      <c r="F92" s="0" t="n">
        <v>0.3</v>
      </c>
      <c r="G92" s="0" t="n">
        <v>0.2</v>
      </c>
      <c r="H92" s="0" t="s">
        <v>17</v>
      </c>
    </row>
    <row r="93" customFormat="false" ht="15" hidden="false" customHeight="false" outlineLevel="0" collapsed="false">
      <c r="A93" s="0" t="s">
        <v>205</v>
      </c>
      <c r="B93" s="0" t="s">
        <v>206</v>
      </c>
      <c r="C93" s="0" t="s">
        <v>33</v>
      </c>
      <c r="E93" s="0" t="n">
        <v>0.08</v>
      </c>
      <c r="F93" s="0" t="n">
        <v>0.04</v>
      </c>
      <c r="G93" s="0" t="n">
        <v>0.02</v>
      </c>
      <c r="H93" s="0" t="s">
        <v>17</v>
      </c>
    </row>
    <row r="94" customFormat="false" ht="15" hidden="false" customHeight="false" outlineLevel="0" collapsed="false">
      <c r="A94" s="0" t="s">
        <v>207</v>
      </c>
      <c r="B94" s="0" t="s">
        <v>208</v>
      </c>
      <c r="C94" s="0" t="s">
        <v>33</v>
      </c>
      <c r="E94" s="0" t="n">
        <v>0.1</v>
      </c>
      <c r="F94" s="0" t="n">
        <v>0.06</v>
      </c>
      <c r="G94" s="0" t="n">
        <v>0.03</v>
      </c>
      <c r="H94" s="0" t="s">
        <v>17</v>
      </c>
    </row>
    <row r="95" customFormat="false" ht="15" hidden="false" customHeight="false" outlineLevel="0" collapsed="false">
      <c r="A95" s="0" t="s">
        <v>209</v>
      </c>
      <c r="B95" s="0" t="s">
        <v>210</v>
      </c>
      <c r="C95" s="0" t="s">
        <v>33</v>
      </c>
      <c r="E95" s="0" t="n">
        <v>0.05</v>
      </c>
      <c r="F95" s="0" t="n">
        <v>0.02</v>
      </c>
      <c r="G95" s="0" t="n">
        <v>0.01</v>
      </c>
      <c r="H95" s="0" t="s">
        <v>17</v>
      </c>
    </row>
    <row r="96" customFormat="false" ht="15" hidden="false" customHeight="false" outlineLevel="0" collapsed="false">
      <c r="A96" s="0" t="s">
        <v>211</v>
      </c>
      <c r="B96" s="0" t="s">
        <v>212</v>
      </c>
      <c r="C96" s="0" t="s">
        <v>33</v>
      </c>
      <c r="E96" s="0" t="n">
        <v>0.1</v>
      </c>
      <c r="F96" s="0" t="n">
        <v>0.15</v>
      </c>
      <c r="G96" s="0" t="n">
        <v>0.25</v>
      </c>
      <c r="H96" s="0" t="s">
        <v>17</v>
      </c>
    </row>
    <row r="97" customFormat="false" ht="15" hidden="false" customHeight="false" outlineLevel="0" collapsed="false">
      <c r="A97" s="0" t="s">
        <v>213</v>
      </c>
      <c r="B97" s="0" t="s">
        <v>214</v>
      </c>
      <c r="C97" s="0" t="s">
        <v>33</v>
      </c>
      <c r="E97" s="0" t="n">
        <v>0.15</v>
      </c>
      <c r="F97" s="0" t="n">
        <v>0.2</v>
      </c>
      <c r="G97" s="0" t="n">
        <v>0.3</v>
      </c>
      <c r="H97" s="0" t="s">
        <v>17</v>
      </c>
    </row>
    <row r="98" customFormat="false" ht="15" hidden="false" customHeight="false" outlineLevel="0" collapsed="false">
      <c r="A98" s="0" t="s">
        <v>215</v>
      </c>
      <c r="B98" s="0" t="s">
        <v>216</v>
      </c>
      <c r="C98" s="0" t="s">
        <v>33</v>
      </c>
      <c r="E98" s="0" t="n">
        <v>0</v>
      </c>
      <c r="F98" s="0" t="n">
        <v>0.1</v>
      </c>
      <c r="G98" s="0" t="n">
        <v>0.2</v>
      </c>
      <c r="H98" s="0" t="s">
        <v>17</v>
      </c>
    </row>
    <row r="99" customFormat="false" ht="15" hidden="false" customHeight="false" outlineLevel="0" collapsed="false">
      <c r="A99" s="0" t="s">
        <v>217</v>
      </c>
      <c r="B99" s="0" t="s">
        <v>218</v>
      </c>
      <c r="C99" s="0" t="s">
        <v>33</v>
      </c>
      <c r="E99" s="0" t="n">
        <v>0.05</v>
      </c>
      <c r="F99" s="0" t="n">
        <v>0.1</v>
      </c>
      <c r="G99" s="0" t="n">
        <v>0.15</v>
      </c>
      <c r="H99" s="0" t="s">
        <v>17</v>
      </c>
    </row>
    <row r="100" customFormat="false" ht="15" hidden="false" customHeight="false" outlineLevel="0" collapsed="false">
      <c r="A100" s="0" t="s">
        <v>219</v>
      </c>
      <c r="B100" s="0" t="s">
        <v>220</v>
      </c>
      <c r="C100" s="0" t="s">
        <v>33</v>
      </c>
      <c r="E100" s="0" t="n">
        <v>0.15</v>
      </c>
      <c r="F100" s="0" t="n">
        <v>0.2</v>
      </c>
      <c r="G100" s="0" t="n">
        <v>0.3</v>
      </c>
      <c r="H100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221</v>
      </c>
      <c r="B1" s="1" t="s">
        <v>222</v>
      </c>
      <c r="C1" s="1" t="s">
        <v>223</v>
      </c>
      <c r="D1" s="1" t="s">
        <v>224</v>
      </c>
    </row>
    <row r="2" customFormat="false" ht="15" hidden="false" customHeight="false" outlineLevel="0" collapsed="false">
      <c r="A2" s="0" t="s">
        <v>225</v>
      </c>
      <c r="B2" s="0" t="n">
        <f aca="false">Optimista!B67</f>
        <v>1101468.41536853</v>
      </c>
      <c r="C2" s="0" t="n">
        <f aca="false">Neutral!B67</f>
        <v>1862.37728290133</v>
      </c>
      <c r="D2" s="0" t="n">
        <f aca="false">Pesimista!B67</f>
        <v>-153462.061591211</v>
      </c>
    </row>
    <row r="3" customFormat="false" ht="15" hidden="false" customHeight="false" outlineLevel="0" collapsed="false">
      <c r="A3" s="0" t="s">
        <v>226</v>
      </c>
      <c r="B3" s="2" t="n">
        <f aca="false">Optimista!B68</f>
        <v>10.3696253055461</v>
      </c>
      <c r="C3" s="2" t="n">
        <f aca="false">Neutral!B68</f>
        <v>0.26328384883344</v>
      </c>
      <c r="D3" s="2" t="str">
        <f aca="false">Pesimista!B68</f>
        <v>no definida</v>
      </c>
    </row>
    <row r="4" customFormat="false" ht="15" hidden="false" customHeight="false" outlineLevel="0" collapsed="false">
      <c r="A4" s="0" t="s">
        <v>227</v>
      </c>
      <c r="B4" s="0" t="n">
        <f aca="false">Optimista!B69</f>
        <v>0.103947535807236</v>
      </c>
      <c r="C4" s="0" t="n">
        <f aca="false">Neutral!B69</f>
        <v>3.31706526291709</v>
      </c>
      <c r="D4" s="0" t="str">
        <f aca="false">Pesimista!B69</f>
        <v>no se recupera</v>
      </c>
    </row>
    <row r="5" customFormat="false" ht="15" hidden="false" customHeight="false" outlineLevel="0" collapsed="false">
      <c r="A5" s="0" t="s">
        <v>228</v>
      </c>
      <c r="B5" s="0" t="n">
        <f aca="false">Optimista!B70</f>
        <v>0.129934419759044</v>
      </c>
      <c r="C5" s="0" t="n">
        <f aca="false">Neutral!B70</f>
        <v>4.89511209324086</v>
      </c>
      <c r="D5" s="0" t="str">
        <f aca="false">Pesimista!B70</f>
        <v>no se recupera</v>
      </c>
    </row>
    <row r="6" customFormat="false" ht="15" hidden="false" customHeight="false" outlineLevel="0" collapsed="false">
      <c r="A6" s="0" t="s">
        <v>229</v>
      </c>
      <c r="B6" s="0" t="n">
        <f aca="false">Optimista!B72</f>
        <v>40</v>
      </c>
      <c r="C6" s="0" t="n">
        <f aca="false">Neutral!B72</f>
        <v>36</v>
      </c>
      <c r="D6" s="0" t="n">
        <f aca="false">Pesimista!B72</f>
        <v>32</v>
      </c>
    </row>
    <row r="7" customFormat="false" ht="15" hidden="false" customHeight="false" outlineLevel="0" collapsed="false">
      <c r="A7" s="0" t="s">
        <v>230</v>
      </c>
      <c r="B7" s="0" t="n">
        <f aca="false">Optimista!B71</f>
        <v>10781.4432989691</v>
      </c>
      <c r="C7" s="0" t="n">
        <f aca="false">Neutral!B71</f>
        <v>8901.20481927711</v>
      </c>
      <c r="D7" s="0" t="n">
        <f aca="false">Pesimista!B71</f>
        <v>5600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231</v>
      </c>
    </row>
    <row r="2" customFormat="false" ht="15" hidden="false" customHeight="false" outlineLevel="0" collapsed="false">
      <c r="A2" s="0" t="s">
        <v>232</v>
      </c>
      <c r="B2" s="0" t="n">
        <v>1</v>
      </c>
    </row>
    <row r="3" customFormat="false" ht="15" hidden="false" customHeight="false" outlineLevel="0" collapsed="false">
      <c r="A3" s="0" t="s">
        <v>233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236</v>
      </c>
      <c r="B6" s="0" t="n">
        <f aca="false">IF(B$3&gt;=INDEX(anio_inicio_b2b,1,$B$2),1,0)</f>
        <v>0</v>
      </c>
      <c r="C6" s="0" t="n">
        <f aca="false">IF(C$3&gt;=INDEX(anio_inicio_b2b,1,$B$2),1,0)</f>
        <v>1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237</v>
      </c>
      <c r="C7" s="0" t="n">
        <f aca="false">INDEX(usuarios_activos,C$3,$B$2)</f>
        <v>5000</v>
      </c>
      <c r="D7" s="0" t="n">
        <f aca="false">INDEX(usuarios_activos,D$3,$B$2)</f>
        <v>20000</v>
      </c>
      <c r="E7" s="0" t="n">
        <f aca="false">INDEX(usuarios_activos,E$3,$B$2)</f>
        <v>50000</v>
      </c>
      <c r="F7" s="0" t="n">
        <f aca="false">INDEX(usuarios_activos,F$3,$B$2)</f>
        <v>100000</v>
      </c>
      <c r="G7" s="0" t="n">
        <f aca="false">INDEX(usuarios_activos,G$3,$B$2)</f>
        <v>150000</v>
      </c>
    </row>
    <row r="9" customFormat="false" ht="15" hidden="false" customHeight="false" outlineLevel="0" collapsed="false">
      <c r="A9" s="1" t="s">
        <v>163</v>
      </c>
    </row>
    <row r="10" customFormat="false" ht="15" hidden="false" customHeight="false" outlineLevel="0" collapsed="false">
      <c r="A10" s="0" t="s">
        <v>238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239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240</v>
      </c>
      <c r="C12" s="0" t="n">
        <f aca="false">C6*ROUND(INDEX(capt_medios_grandes,1,$B$2)*(u_medios_grandes-C10),0)</f>
        <v>2</v>
      </c>
      <c r="D12" s="0" t="n">
        <f aca="false">D6*ROUND(INDEX(capt_medios_grandes,1,$B$2)*(u_medios_grandes-D10),0)</f>
        <v>2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1</v>
      </c>
      <c r="G12" s="0" t="n">
        <f aca="false">G6*ROUND(INDEX(capt_medios_grandes,1,$B$2)*(u_medios_grandes-G10),0)</f>
        <v>1</v>
      </c>
    </row>
    <row r="13" customFormat="false" ht="15" hidden="false" customHeight="false" outlineLevel="0" collapsed="false">
      <c r="A13" s="0" t="s">
        <v>241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242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243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244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245</v>
      </c>
      <c r="C17" s="0" t="n">
        <f aca="false">C6*ROUND(INDEX(capt_medios_chicos,1,$B$2)*(u_medios_chicos-C15),0)</f>
        <v>9</v>
      </c>
      <c r="D17" s="0" t="n">
        <f aca="false">D6*ROUND(INDEX(capt_medios_chicos,1,$B$2)*(u_medios_chicos-D15),0)</f>
        <v>8</v>
      </c>
      <c r="E17" s="0" t="n">
        <f aca="false">E6*ROUND(INDEX(capt_medios_chicos,1,$B$2)*(u_medios_chicos-E15),0)</f>
        <v>8</v>
      </c>
      <c r="F17" s="0" t="n">
        <f aca="false">F6*ROUND(INDEX(capt_medios_chicos,1,$B$2)*(u_medios_chicos-F15),0)</f>
        <v>7</v>
      </c>
      <c r="G17" s="0" t="n">
        <f aca="false">G6*ROUND(INDEX(capt_medios_chicos,1,$B$2)*(u_medios_chicos-G15),0)</f>
        <v>7</v>
      </c>
    </row>
    <row r="18" customFormat="false" ht="15" hidden="false" customHeight="false" outlineLevel="0" collapsed="false">
      <c r="A18" s="0" t="s">
        <v>246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247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248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249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250</v>
      </c>
      <c r="C22" s="0" t="n">
        <f aca="false">C6*ROUND(INDEX(capt_verificadores,1,$B$2)*(u_verificadores-C20),0)</f>
        <v>1</v>
      </c>
      <c r="D22" s="0" t="n">
        <f aca="false">D6*ROUND(INDEX(capt_verificadores,1,$B$2)*(u_verificadores-D20),0)</f>
        <v>1</v>
      </c>
      <c r="E22" s="0" t="n">
        <f aca="false">E6*ROUND(INDEX(capt_verificadores,1,$B$2)*(u_verificadores-E20),0)</f>
        <v>0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251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252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253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254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255</v>
      </c>
      <c r="C27" s="0" t="n">
        <f aca="false">C6*ROUND(INDEX(capt_universidades,1,$B$2)*(u_universidades-C25),0)</f>
        <v>12</v>
      </c>
      <c r="D27" s="0" t="n">
        <f aca="false">D6*ROUND(INDEX(capt_universidades,1,$B$2)*(u_universidades-D25),0)</f>
        <v>11</v>
      </c>
      <c r="E27" s="0" t="n">
        <f aca="false">E6*ROUND(INDEX(capt_universidades,1,$B$2)*(u_universidades-E25),0)</f>
        <v>10</v>
      </c>
      <c r="F27" s="0" t="n">
        <f aca="false">F6*ROUND(INDEX(capt_universidades,1,$B$2)*(u_universidades-F25),0)</f>
        <v>9</v>
      </c>
      <c r="G27" s="0" t="n">
        <f aca="false">G6*ROUND(INDEX(capt_universidades,1,$B$2)*(u_universidades-G25),0)</f>
        <v>9</v>
      </c>
    </row>
    <row r="28" customFormat="false" ht="15" hidden="false" customHeight="false" outlineLevel="0" collapsed="false">
      <c r="A28" s="0" t="s">
        <v>256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257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258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259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260</v>
      </c>
      <c r="C32" s="0" t="n">
        <f aca="false">C6*ROUND(INDEX(capt_agencias,1,$B$2)*(u_agencias-C30),0)</f>
        <v>6</v>
      </c>
      <c r="D32" s="0" t="n">
        <f aca="false">D6*ROUND(INDEX(capt_agencias,1,$B$2)*(u_agencias-D30),0)</f>
        <v>6</v>
      </c>
      <c r="E32" s="0" t="n">
        <f aca="false">E6*ROUND(INDEX(capt_agencias,1,$B$2)*(u_agencias-E30),0)</f>
        <v>5</v>
      </c>
      <c r="F32" s="0" t="n">
        <f aca="false">F6*ROUND(INDEX(capt_agencias,1,$B$2)*(u_agencias-F30),0)</f>
        <v>5</v>
      </c>
      <c r="G32" s="0" t="n">
        <f aca="false">G6*ROUND(INDEX(capt_agencias,1,$B$2)*(u_agencias-G30),0)</f>
        <v>5</v>
      </c>
    </row>
    <row r="33" customFormat="false" ht="15" hidden="false" customHeight="false" outlineLevel="0" collapsed="false">
      <c r="A33" s="0" t="s">
        <v>261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262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263</v>
      </c>
      <c r="C35" s="0" t="n">
        <f aca="false">C5*C6*ROUND(INDEX(capt_organismos,1,$B$2)*u_organismos,0)</f>
        <v>3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3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3</v>
      </c>
    </row>
    <row r="36" customFormat="false" ht="15" hidden="false" customHeight="false" outlineLevel="0" collapsed="false">
      <c r="A36" s="0" t="s">
        <v>264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265</v>
      </c>
    </row>
    <row r="39" customFormat="false" ht="15" hidden="false" customHeight="false" outlineLevel="0" collapsed="false">
      <c r="A39" s="0" t="s">
        <v>266</v>
      </c>
      <c r="C39" s="0" t="n">
        <f aca="false">C14*INDEX(precio_medios_grandes,1,$B$2)*meses_anio</f>
        <v>36000</v>
      </c>
      <c r="D39" s="0" t="n">
        <f aca="false">D14*INDEX(precio_medios_grandes,1,$B$2)*meses_anio</f>
        <v>108000</v>
      </c>
      <c r="E39" s="0" t="n">
        <f aca="false">E14*INDEX(precio_medios_grandes,1,$B$2)*meses_anio</f>
        <v>162000</v>
      </c>
      <c r="F39" s="0" t="n">
        <f aca="false">F14*INDEX(precio_medios_grandes,1,$B$2)*meses_anio</f>
        <v>180000</v>
      </c>
      <c r="G39" s="0" t="n">
        <f aca="false">G14*INDEX(precio_medios_grandes,1,$B$2)*meses_anio</f>
        <v>180000</v>
      </c>
    </row>
    <row r="40" customFormat="false" ht="15" hidden="false" customHeight="false" outlineLevel="0" collapsed="false">
      <c r="A40" s="0" t="s">
        <v>267</v>
      </c>
      <c r="C40" s="0" t="n">
        <f aca="false">C19*precio_medios_chicos*meses_anio</f>
        <v>10800</v>
      </c>
      <c r="D40" s="0" t="n">
        <f aca="false">D19*precio_medios_chicos*meses_anio</f>
        <v>30000</v>
      </c>
      <c r="E40" s="0" t="n">
        <f aca="false">E19*precio_medios_chicos*meses_anio</f>
        <v>45600</v>
      </c>
      <c r="F40" s="0" t="n">
        <f aca="false">F19*precio_medios_chicos*meses_anio</f>
        <v>57600</v>
      </c>
      <c r="G40" s="0" t="n">
        <f aca="false">G19*precio_medios_chicos*meses_anio</f>
        <v>66000</v>
      </c>
    </row>
    <row r="41" customFormat="false" ht="15" hidden="false" customHeight="false" outlineLevel="0" collapsed="false">
      <c r="A41" s="0" t="s">
        <v>268</v>
      </c>
      <c r="C41" s="0" t="n">
        <f aca="false">C24*precio_verificadores*meses_anio</f>
        <v>3000</v>
      </c>
      <c r="D41" s="0" t="n">
        <f aca="false">D24*precio_verificadores*meses_anio</f>
        <v>9000</v>
      </c>
      <c r="E41" s="0" t="n">
        <f aca="false">E24*precio_verificadores*meses_anio</f>
        <v>12000</v>
      </c>
      <c r="F41" s="0" t="n">
        <f aca="false">F24*precio_verificadores*meses_anio</f>
        <v>12000</v>
      </c>
      <c r="G41" s="0" t="n">
        <f aca="false">G24*precio_verificadores*meses_anio</f>
        <v>12000</v>
      </c>
    </row>
    <row r="42" customFormat="false" ht="15" hidden="false" customHeight="false" outlineLevel="0" collapsed="false">
      <c r="A42" s="0" t="s">
        <v>269</v>
      </c>
      <c r="C42" s="0" t="n">
        <f aca="false">C29*precio_universidades*meses_anio</f>
        <v>7200</v>
      </c>
      <c r="D42" s="0" t="n">
        <f aca="false">D29*precio_universidades*meses_anio</f>
        <v>20400</v>
      </c>
      <c r="E42" s="0" t="n">
        <f aca="false">E29*precio_universidades*meses_anio</f>
        <v>31800</v>
      </c>
      <c r="F42" s="0" t="n">
        <f aca="false">F29*precio_universidades*meses_anio</f>
        <v>41400</v>
      </c>
      <c r="G42" s="0" t="n">
        <f aca="false">G29*precio_universidades*meses_anio</f>
        <v>49800</v>
      </c>
    </row>
    <row r="43" customFormat="false" ht="15" hidden="false" customHeight="false" outlineLevel="0" collapsed="false">
      <c r="A43" s="0" t="s">
        <v>270</v>
      </c>
      <c r="C43" s="0" t="n">
        <f aca="false">C34*INDEX(precio_agencias,1,$B$2)*meses_anio</f>
        <v>108000</v>
      </c>
      <c r="D43" s="0" t="n">
        <f aca="false">D34*INDEX(precio_agencias,1,$B$2)*meses_anio</f>
        <v>306000</v>
      </c>
      <c r="E43" s="0" t="n">
        <f aca="false">E34*INDEX(precio_agencias,1,$B$2)*meses_anio</f>
        <v>450000</v>
      </c>
      <c r="F43" s="0" t="n">
        <f aca="false">F34*INDEX(precio_agencias,1,$B$2)*meses_anio</f>
        <v>558000</v>
      </c>
      <c r="G43" s="0" t="n">
        <f aca="false">G34*INDEX(precio_agencias,1,$B$2)*meses_anio</f>
        <v>648000</v>
      </c>
    </row>
    <row r="44" customFormat="false" ht="15" hidden="false" customHeight="false" outlineLevel="0" collapsed="false">
      <c r="A44" s="0" t="s">
        <v>271</v>
      </c>
      <c r="C44" s="0" t="n">
        <f aca="false">C35*INDEX(precio_organismos,1,$B$2)</f>
        <v>90000</v>
      </c>
      <c r="D44" s="0" t="n">
        <f aca="false">D35*INDEX(precio_organismos,1,$B$2)</f>
        <v>0</v>
      </c>
      <c r="E44" s="0" t="n">
        <f aca="false">E35*INDEX(precio_organismos,1,$B$2)</f>
        <v>90000</v>
      </c>
      <c r="F44" s="0" t="n">
        <f aca="false">F35*INDEX(precio_organismos,1,$B$2)</f>
        <v>0</v>
      </c>
      <c r="G44" s="0" t="n">
        <f aca="false">G35*INDEX(precio_organismos,1,$B$2)</f>
        <v>90000</v>
      </c>
    </row>
    <row r="45" customFormat="false" ht="15" hidden="false" customHeight="false" outlineLevel="0" collapsed="false">
      <c r="A45" s="0" t="s">
        <v>272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273</v>
      </c>
    </row>
    <row r="48" customFormat="false" ht="15" hidden="false" customHeight="false" outlineLevel="0" collapsed="false">
      <c r="A48" s="0" t="s">
        <v>274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275</v>
      </c>
      <c r="B49" s="0" t="n">
        <f aca="false">inv_infraestructura_0</f>
        <v>168</v>
      </c>
      <c r="C49" s="0" t="n">
        <f aca="false">meses_anio*(infra_base+infra_escalado*C7/ua_escalado)+dominio_anual</f>
        <v>663</v>
      </c>
      <c r="D49" s="0" t="n">
        <f aca="false">meses_anio*(infra_base+infra_escalado*D7/ua_escalado)+dominio_anual</f>
        <v>843</v>
      </c>
      <c r="E49" s="0" t="n">
        <f aca="false">meses_anio*(infra_base+infra_escalado*E7/ua_escalado)+dominio_anual</f>
        <v>1203</v>
      </c>
      <c r="F49" s="0" t="n">
        <f aca="false">meses_anio*(infra_base+infra_escalado*F7/ua_escalado)+dominio_anual</f>
        <v>1803</v>
      </c>
      <c r="G49" s="0" t="n">
        <f aca="false">meses_anio*(infra_base+infra_escalado*G7/ua_escalado)+dominio_anual</f>
        <v>2403</v>
      </c>
    </row>
    <row r="50" customFormat="false" ht="15" hidden="false" customHeight="false" outlineLevel="0" collapsed="false">
      <c r="A50" s="0" t="s">
        <v>276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4380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277</v>
      </c>
      <c r="C51" s="0" t="n">
        <f aca="false">INDEX(marketing,C$3,$B$2)</f>
        <v>6000</v>
      </c>
      <c r="D51" s="0" t="n">
        <f aca="false">INDEX(marketing,D$3,$B$2)</f>
        <v>9000</v>
      </c>
      <c r="E51" s="0" t="n">
        <f aca="false">INDEX(marketing,E$3,$B$2)</f>
        <v>12000</v>
      </c>
      <c r="F51" s="0" t="n">
        <f aca="false">INDEX(marketing,F$3,$B$2)</f>
        <v>15000</v>
      </c>
      <c r="G51" s="0" t="n">
        <f aca="false">INDEX(marketing,G$3,$B$2)</f>
        <v>18000</v>
      </c>
    </row>
    <row r="52" customFormat="false" ht="15" hidden="false" customHeight="false" outlineLevel="0" collapsed="false">
      <c r="A52" s="0" t="s">
        <v>278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279</v>
      </c>
      <c r="C53" s="0" t="n">
        <f aca="false">C7*INDEX(analisis_por_ua_mes,1,$B$2)*meses_anio*(1-INDEX(tasa_reuso,1,$B$2))*INDEX(costo_analisis,1,$B$2)</f>
        <v>10704.96</v>
      </c>
      <c r="D53" s="0" t="n">
        <f aca="false">D7*INDEX(analisis_por_ua_mes,1,$B$2)*meses_anio*(1-INDEX(tasa_reuso,1,$B$2))*INDEX(costo_analisis,1,$B$2)</f>
        <v>42819.84</v>
      </c>
      <c r="E53" s="0" t="n">
        <f aca="false">E7*INDEX(analisis_por_ua_mes,1,$B$2)*meses_anio*(1-INDEX(tasa_reuso,1,$B$2))*INDEX(costo_analisis,1,$B$2)</f>
        <v>107049.6</v>
      </c>
      <c r="F53" s="0" t="n">
        <f aca="false">F7*INDEX(analisis_por_ua_mes,1,$B$2)*meses_anio*(1-INDEX(tasa_reuso,1,$B$2))*INDEX(costo_analisis,1,$B$2)</f>
        <v>214099.2</v>
      </c>
      <c r="G53" s="0" t="n">
        <f aca="false">G7*INDEX(analisis_por_ua_mes,1,$B$2)*meses_anio*(1-INDEX(tasa_reuso,1,$B$2))*INDEX(costo_analisis,1,$B$2)</f>
        <v>321148.8</v>
      </c>
    </row>
    <row r="54" customFormat="false" ht="15" hidden="false" customHeight="false" outlineLevel="0" collapsed="false">
      <c r="A54" s="0" t="s">
        <v>280</v>
      </c>
      <c r="C54" s="0" t="n">
        <f aca="false">((C19+C24)*INDEX(consultas_pro_mes,1,$B$2)+(C14+C34)*INDEX(consultas_ent_mes,1,$B$2))*meses_anio*(1-INDEX(tasa_reuso,1,$B$2))*INDEX(costo_analisis,1,$B$2)</f>
        <v>9634.464</v>
      </c>
      <c r="D54" s="0" t="n">
        <f aca="false">((D19+D24)*INDEX(consultas_pro_mes,1,$B$2)+(D14+D34)*INDEX(consultas_ent_mes,1,$B$2))*meses_anio*(1-INDEX(tasa_reuso,1,$B$2))*INDEX(costo_analisis,1,$B$2)</f>
        <v>27618.7968</v>
      </c>
      <c r="E54" s="0" t="n">
        <f aca="false">((E19+E24)*INDEX(consultas_pro_mes,1,$B$2)+(E14+E34)*INDEX(consultas_ent_mes,1,$B$2))*meses_anio*(1-INDEX(tasa_reuso,1,$B$2))*INDEX(costo_analisis,1,$B$2)</f>
        <v>40892.9472</v>
      </c>
      <c r="F54" s="0" t="n">
        <f aca="false">((F19+F24)*INDEX(consultas_pro_mes,1,$B$2)+(F14+F34)*INDEX(consultas_ent_mes,1,$B$2))*meses_anio*(1-INDEX(tasa_reuso,1,$B$2))*INDEX(costo_analisis,1,$B$2)</f>
        <v>49456.9152</v>
      </c>
      <c r="G54" s="0" t="n">
        <f aca="false">((G19+G24)*INDEX(consultas_pro_mes,1,$B$2)+(G14+G34)*INDEX(consultas_ent_mes,1,$B$2))*meses_anio*(1-INDEX(tasa_reuso,1,$B$2))*INDEX(costo_analisis,1,$B$2)</f>
        <v>55558.7424</v>
      </c>
    </row>
    <row r="55" customFormat="false" ht="15" hidden="false" customHeight="false" outlineLevel="0" collapsed="false">
      <c r="A55" s="0" t="s">
        <v>281</v>
      </c>
      <c r="B55" s="0" t="n">
        <f aca="false">SUM(B48:B54)</f>
        <v>21132.6666666667</v>
      </c>
      <c r="C55" s="0" t="n">
        <f aca="false">SUM(C48:C54)</f>
        <v>51698.724</v>
      </c>
      <c r="D55" s="0" t="n">
        <f aca="false">SUM(D48:D54)</f>
        <v>110316.8118</v>
      </c>
      <c r="E55" s="0" t="n">
        <f aca="false">SUM(E48:E54)</f>
        <v>192463.48095</v>
      </c>
      <c r="F55" s="0" t="n">
        <f aca="false">SUM(F48:F54)</f>
        <v>313023.9456375</v>
      </c>
      <c r="G55" s="0" t="n">
        <f aca="false">SUM(G48:G54)</f>
        <v>431189.614359375</v>
      </c>
    </row>
    <row r="57" customFormat="false" ht="15" hidden="false" customHeight="false" outlineLevel="0" collapsed="false">
      <c r="A57" s="1" t="s">
        <v>282</v>
      </c>
    </row>
    <row r="58" customFormat="false" ht="15" hidden="false" customHeight="false" outlineLevel="0" collapsed="false">
      <c r="A58" s="0" t="s">
        <v>283</v>
      </c>
      <c r="B58" s="0" t="n">
        <f aca="false">B45-B55</f>
        <v>-21132.6666666667</v>
      </c>
      <c r="C58" s="0" t="n">
        <f aca="false">C45-C55</f>
        <v>203301.276</v>
      </c>
      <c r="D58" s="0" t="n">
        <f aca="false">D45-D55</f>
        <v>363083.1882</v>
      </c>
      <c r="E58" s="0" t="n">
        <f aca="false">E45-E55</f>
        <v>598936.51905</v>
      </c>
      <c r="F58" s="0" t="n">
        <f aca="false">F45-F55</f>
        <v>535976.0543625</v>
      </c>
      <c r="G58" s="0" t="n">
        <f aca="false">G45-G55</f>
        <v>614610.385640625</v>
      </c>
    </row>
    <row r="59" customFormat="false" ht="15" hidden="false" customHeight="false" outlineLevel="0" collapsed="false">
      <c r="A59" s="0" t="s">
        <v>284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285</v>
      </c>
      <c r="B60" s="0" t="n">
        <f aca="false">B58*B59</f>
        <v>-21132.6666666667</v>
      </c>
      <c r="C60" s="0" t="n">
        <f aca="false">C58*C59</f>
        <v>162641.0208</v>
      </c>
      <c r="D60" s="0" t="n">
        <f aca="false">D58*D59</f>
        <v>232373.240448</v>
      </c>
      <c r="E60" s="0" t="n">
        <f aca="false">E58*E59</f>
        <v>306655.4977536</v>
      </c>
      <c r="F60" s="0" t="n">
        <f aca="false">F58*F59</f>
        <v>219535.79186688</v>
      </c>
      <c r="G60" s="0" t="n">
        <f aca="false">G58*G59</f>
        <v>201395.53116672</v>
      </c>
    </row>
    <row r="61" customFormat="false" ht="15" hidden="false" customHeight="false" outlineLevel="0" collapsed="false">
      <c r="A61" s="0" t="s">
        <v>286</v>
      </c>
      <c r="B61" s="0" t="n">
        <f aca="false">B58</f>
        <v>-21132.6666666667</v>
      </c>
      <c r="C61" s="0" t="n">
        <f aca="false">B61+C58</f>
        <v>182168.609333333</v>
      </c>
      <c r="D61" s="0" t="n">
        <f aca="false">C61+D58</f>
        <v>545251.797533333</v>
      </c>
      <c r="E61" s="0" t="n">
        <f aca="false">D61+E58</f>
        <v>1144188.31658333</v>
      </c>
      <c r="F61" s="0" t="n">
        <f aca="false">E61+F58</f>
        <v>1680164.37094583</v>
      </c>
      <c r="G61" s="0" t="n">
        <f aca="false">F61+G58</f>
        <v>2294774.75658646</v>
      </c>
    </row>
    <row r="62" customFormat="false" ht="15" hidden="false" customHeight="false" outlineLevel="0" collapsed="false">
      <c r="A62" s="0" t="s">
        <v>287</v>
      </c>
      <c r="B62" s="0" t="n">
        <f aca="false">B60</f>
        <v>-21132.6666666667</v>
      </c>
      <c r="C62" s="0" t="n">
        <f aca="false">B62+C60</f>
        <v>141508.354133333</v>
      </c>
      <c r="D62" s="0" t="n">
        <f aca="false">C62+D60</f>
        <v>373881.594581333</v>
      </c>
      <c r="E62" s="0" t="n">
        <f aca="false">D62+E60</f>
        <v>680537.092334933</v>
      </c>
      <c r="F62" s="0" t="n">
        <f aca="false">E62+F60</f>
        <v>900072.884201813</v>
      </c>
      <c r="G62" s="0" t="n">
        <f aca="false">F62+G60</f>
        <v>1101468.41536853</v>
      </c>
    </row>
    <row r="63" customFormat="false" ht="15" hidden="false" customHeight="false" outlineLevel="0" collapsed="false">
      <c r="A63" s="0" t="s">
        <v>288</v>
      </c>
      <c r="C63" s="0" t="n">
        <f aca="false">IF(AND(B61&lt;0,C61&gt;=0),C$3-1+(-B61)/C58,"")</f>
        <v>0.103947535807236</v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str">
        <f aca="false">IF(AND(E61&lt;0,F61&gt;=0),F$3-1+(-E61)/F58,"")</f>
        <v/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289</v>
      </c>
      <c r="C64" s="0" t="n">
        <f aca="false">IF(AND(B62&lt;0,C62&gt;=0),C$3-1+(-B62)/C60,"")</f>
        <v>0.129934419759044</v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str">
        <f aca="false">IF(AND(F62&lt;0,G62&gt;=0),G$3-1+(-F62)/G60,"")</f>
        <v/>
      </c>
    </row>
    <row r="66" customFormat="false" ht="15" hidden="false" customHeight="false" outlineLevel="0" collapsed="false">
      <c r="A66" s="1" t="s">
        <v>290</v>
      </c>
    </row>
    <row r="67" customFormat="false" ht="15" hidden="false" customHeight="false" outlineLevel="0" collapsed="false">
      <c r="A67" s="0" t="s">
        <v>225</v>
      </c>
      <c r="B67" s="0" t="n">
        <f aca="false">SUM(B60:G60)</f>
        <v>1101468.41536853</v>
      </c>
    </row>
    <row r="68" customFormat="false" ht="15" hidden="false" customHeight="false" outlineLevel="0" collapsed="false">
      <c r="A68" s="0" t="s">
        <v>226</v>
      </c>
      <c r="B68" s="2" t="n">
        <f aca="false">IFERROR(IRR(B58:G58),"no definida")</f>
        <v>10.3696253055461</v>
      </c>
    </row>
    <row r="69" customFormat="false" ht="15" hidden="false" customHeight="false" outlineLevel="0" collapsed="false">
      <c r="A69" s="0" t="s">
        <v>227</v>
      </c>
      <c r="B69" s="0" t="n">
        <f aca="false">IF(COUNT(C63:G63)=0,"no se recupera",MIN(C63:G63))</f>
        <v>0.103947535807236</v>
      </c>
    </row>
    <row r="70" customFormat="false" ht="15" hidden="false" customHeight="false" outlineLevel="0" collapsed="false">
      <c r="A70" s="0" t="s">
        <v>228</v>
      </c>
      <c r="B70" s="0" t="n">
        <f aca="false">IF(COUNT(C64:G64)=0,"no se recupera",MIN(C64:G64))</f>
        <v>0.129934419759044</v>
      </c>
    </row>
    <row r="71" customFormat="false" ht="15" hidden="false" customHeight="false" outlineLevel="0" collapsed="false">
      <c r="A71" s="0" t="s">
        <v>230</v>
      </c>
      <c r="B71" s="0" t="n">
        <f aca="false">IFERROR(G45/G36,"no definido")</f>
        <v>10781.4432989691</v>
      </c>
    </row>
    <row r="72" customFormat="false" ht="15" hidden="false" customHeight="false" outlineLevel="0" collapsed="false">
      <c r="A72" s="0" t="s">
        <v>229</v>
      </c>
      <c r="B72" s="0" t="n">
        <f aca="false">IFERROR(ROUNDUP(G55/B71,0),"no definido")</f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291</v>
      </c>
    </row>
    <row r="2" customFormat="false" ht="15" hidden="false" customHeight="false" outlineLevel="0" collapsed="false">
      <c r="A2" s="0" t="s">
        <v>232</v>
      </c>
      <c r="B2" s="0" t="n">
        <v>2</v>
      </c>
    </row>
    <row r="3" customFormat="false" ht="15" hidden="false" customHeight="false" outlineLevel="0" collapsed="false">
      <c r="A3" s="0" t="s">
        <v>233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236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237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163</v>
      </c>
    </row>
    <row r="10" customFormat="false" ht="15" hidden="false" customHeight="false" outlineLevel="0" collapsed="false">
      <c r="A10" s="0" t="s">
        <v>238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239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240</v>
      </c>
      <c r="C12" s="0" t="n">
        <f aca="false">C6*ROUND(INDEX(capt_medios_grandes,1,$B$2)*(u_medios_grandes-C10),0)</f>
        <v>0</v>
      </c>
      <c r="D12" s="0" t="n">
        <f aca="false">D6*ROUND(INDEX(capt_medios_grandes,1,$B$2)*(u_medios_grandes-D10),0)</f>
        <v>1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1</v>
      </c>
      <c r="G12" s="0" t="n">
        <f aca="false">G6*ROUND(INDEX(capt_medios_grandes,1,$B$2)*(u_medios_grandes-G10),0)</f>
        <v>1</v>
      </c>
    </row>
    <row r="13" customFormat="false" ht="15" hidden="false" customHeight="false" outlineLevel="0" collapsed="false">
      <c r="A13" s="0" t="s">
        <v>241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242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243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244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245</v>
      </c>
      <c r="C17" s="0" t="n">
        <f aca="false">C6*ROUND(INDEX(capt_medios_chicos,1,$B$2)*(u_medios_chicos-C15),0)</f>
        <v>0</v>
      </c>
      <c r="D17" s="0" t="n">
        <f aca="false">D6*ROUND(INDEX(capt_medios_chicos,1,$B$2)*(u_medios_chicos-D15),0)</f>
        <v>5</v>
      </c>
      <c r="E17" s="0" t="n">
        <f aca="false">E6*ROUND(INDEX(capt_medios_chicos,1,$B$2)*(u_medios_chicos-E15),0)</f>
        <v>4</v>
      </c>
      <c r="F17" s="0" t="n">
        <f aca="false">F6*ROUND(INDEX(capt_medios_chicos,1,$B$2)*(u_medios_chicos-F15),0)</f>
        <v>4</v>
      </c>
      <c r="G17" s="0" t="n">
        <f aca="false">G6*ROUND(INDEX(capt_medios_chicos,1,$B$2)*(u_medios_chicos-G15),0)</f>
        <v>4</v>
      </c>
    </row>
    <row r="18" customFormat="false" ht="15" hidden="false" customHeight="false" outlineLevel="0" collapsed="false">
      <c r="A18" s="0" t="s">
        <v>246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247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248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249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250</v>
      </c>
      <c r="C22" s="0" t="n">
        <f aca="false">C6*ROUND(INDEX(capt_verificadores,1,$B$2)*(u_verificadores-C20),0)</f>
        <v>0</v>
      </c>
      <c r="D22" s="0" t="n">
        <f aca="false">D6*ROUND(INDEX(capt_verificadores,1,$B$2)*(u_verificadores-D20),0)</f>
        <v>1</v>
      </c>
      <c r="E22" s="0" t="n">
        <f aca="false">E6*ROUND(INDEX(capt_verificadores,1,$B$2)*(u_verificadores-E20),0)</f>
        <v>1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251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252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253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254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255</v>
      </c>
      <c r="C27" s="0" t="n">
        <f aca="false">C6*ROUND(INDEX(capt_universidades,1,$B$2)*(u_universidades-C25),0)</f>
        <v>0</v>
      </c>
      <c r="D27" s="0" t="n">
        <f aca="false">D6*ROUND(INDEX(capt_universidades,1,$B$2)*(u_universidades-D25),0)</f>
        <v>6</v>
      </c>
      <c r="E27" s="0" t="n">
        <f aca="false">E6*ROUND(INDEX(capt_universidades,1,$B$2)*(u_universidades-E25),0)</f>
        <v>6</v>
      </c>
      <c r="F27" s="0" t="n">
        <f aca="false">F6*ROUND(INDEX(capt_universidades,1,$B$2)*(u_universidades-F25),0)</f>
        <v>6</v>
      </c>
      <c r="G27" s="0" t="n">
        <f aca="false">G6*ROUND(INDEX(capt_universidades,1,$B$2)*(u_universidades-G25),0)</f>
        <v>5</v>
      </c>
    </row>
    <row r="28" customFormat="false" ht="15" hidden="false" customHeight="false" outlineLevel="0" collapsed="false">
      <c r="A28" s="0" t="s">
        <v>256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257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258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259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260</v>
      </c>
      <c r="C32" s="0" t="n">
        <f aca="false">C6*ROUND(INDEX(capt_agencias,1,$B$2)*(u_agencias-C30),0)</f>
        <v>0</v>
      </c>
      <c r="D32" s="0" t="n">
        <f aca="false">D6*ROUND(INDEX(capt_agencias,1,$B$2)*(u_agencias-D30),0)</f>
        <v>2</v>
      </c>
      <c r="E32" s="0" t="n">
        <f aca="false">E6*ROUND(INDEX(capt_agencias,1,$B$2)*(u_agencias-E30),0)</f>
        <v>2</v>
      </c>
      <c r="F32" s="0" t="n">
        <f aca="false">F6*ROUND(INDEX(capt_agencias,1,$B$2)*(u_agencias-F30),0)</f>
        <v>2</v>
      </c>
      <c r="G32" s="0" t="n">
        <f aca="false">G6*ROUND(INDEX(capt_agencias,1,$B$2)*(u_agencias-G30),0)</f>
        <v>2</v>
      </c>
    </row>
    <row r="33" customFormat="false" ht="15" hidden="false" customHeight="false" outlineLevel="0" collapsed="false">
      <c r="A33" s="0" t="s">
        <v>261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262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263</v>
      </c>
      <c r="C35" s="0" t="n">
        <f aca="false">C5*C6*ROUND(INDEX(capt_organismos,1,$B$2)*u_organismos,0)</f>
        <v>0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2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2</v>
      </c>
    </row>
    <row r="36" customFormat="false" ht="15" hidden="false" customHeight="false" outlineLevel="0" collapsed="false">
      <c r="A36" s="0" t="s">
        <v>264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265</v>
      </c>
    </row>
    <row r="39" customFormat="false" ht="15" hidden="false" customHeight="false" outlineLevel="0" collapsed="false">
      <c r="A39" s="0" t="s">
        <v>266</v>
      </c>
      <c r="C39" s="0" t="n">
        <f aca="false">C14*INDEX(precio_medios_grandes,1,$B$2)*meses_anio</f>
        <v>0</v>
      </c>
      <c r="D39" s="0" t="n">
        <f aca="false">D14*INDEX(precio_medios_grandes,1,$B$2)*meses_anio</f>
        <v>15000</v>
      </c>
      <c r="E39" s="0" t="n">
        <f aca="false">E14*INDEX(precio_medios_grandes,1,$B$2)*meses_anio</f>
        <v>45000</v>
      </c>
      <c r="F39" s="0" t="n">
        <f aca="false">F14*INDEX(precio_medios_grandes,1,$B$2)*meses_anio</f>
        <v>75000</v>
      </c>
      <c r="G39" s="0" t="n">
        <f aca="false">G14*INDEX(precio_medios_grandes,1,$B$2)*meses_anio</f>
        <v>105000</v>
      </c>
    </row>
    <row r="40" customFormat="false" ht="15" hidden="false" customHeight="false" outlineLevel="0" collapsed="false">
      <c r="A40" s="0" t="s">
        <v>267</v>
      </c>
      <c r="C40" s="0" t="n">
        <f aca="false">C19*precio_medios_chicos*meses_anio</f>
        <v>0</v>
      </c>
      <c r="D40" s="0" t="n">
        <f aca="false">D19*precio_medios_chicos*meses_anio</f>
        <v>6000</v>
      </c>
      <c r="E40" s="0" t="n">
        <f aca="false">E19*precio_medios_chicos*meses_anio</f>
        <v>15600</v>
      </c>
      <c r="F40" s="0" t="n">
        <f aca="false">F19*precio_medios_chicos*meses_anio</f>
        <v>21600</v>
      </c>
      <c r="G40" s="0" t="n">
        <f aca="false">G19*precio_medios_chicos*meses_anio</f>
        <v>26400</v>
      </c>
    </row>
    <row r="41" customFormat="false" ht="15" hidden="false" customHeight="false" outlineLevel="0" collapsed="false">
      <c r="A41" s="0" t="s">
        <v>268</v>
      </c>
      <c r="C41" s="0" t="n">
        <f aca="false">C24*precio_verificadores*meses_anio</f>
        <v>0</v>
      </c>
      <c r="D41" s="0" t="n">
        <f aca="false">D24*precio_verificadores*meses_anio</f>
        <v>3000</v>
      </c>
      <c r="E41" s="0" t="n">
        <f aca="false">E24*precio_verificadores*meses_anio</f>
        <v>9000</v>
      </c>
      <c r="F41" s="0" t="n">
        <f aca="false">F24*precio_verificadores*meses_anio</f>
        <v>12000</v>
      </c>
      <c r="G41" s="0" t="n">
        <f aca="false">G24*precio_verificadores*meses_anio</f>
        <v>12000</v>
      </c>
    </row>
    <row r="42" customFormat="false" ht="15" hidden="false" customHeight="false" outlineLevel="0" collapsed="false">
      <c r="A42" s="0" t="s">
        <v>269</v>
      </c>
      <c r="C42" s="0" t="n">
        <f aca="false">C29*precio_universidades*meses_anio</f>
        <v>0</v>
      </c>
      <c r="D42" s="0" t="n">
        <f aca="false">D29*precio_universidades*meses_anio</f>
        <v>3600</v>
      </c>
      <c r="E42" s="0" t="n">
        <f aca="false">E29*precio_universidades*meses_anio</f>
        <v>10200</v>
      </c>
      <c r="F42" s="0" t="n">
        <f aca="false">F29*precio_universidades*meses_anio</f>
        <v>16200</v>
      </c>
      <c r="G42" s="0" t="n">
        <f aca="false">G29*precio_universidades*meses_anio</f>
        <v>21000</v>
      </c>
    </row>
    <row r="43" customFormat="false" ht="15" hidden="false" customHeight="false" outlineLevel="0" collapsed="false">
      <c r="A43" s="0" t="s">
        <v>270</v>
      </c>
      <c r="C43" s="0" t="n">
        <f aca="false">C34*INDEX(precio_agencias,1,$B$2)*meses_anio</f>
        <v>0</v>
      </c>
      <c r="D43" s="0" t="n">
        <f aca="false">D34*INDEX(precio_agencias,1,$B$2)*meses_anio</f>
        <v>30000</v>
      </c>
      <c r="E43" s="0" t="n">
        <f aca="false">E34*INDEX(precio_agencias,1,$B$2)*meses_anio</f>
        <v>90000</v>
      </c>
      <c r="F43" s="0" t="n">
        <f aca="false">F34*INDEX(precio_agencias,1,$B$2)*meses_anio</f>
        <v>135000</v>
      </c>
      <c r="G43" s="0" t="n">
        <f aca="false">G34*INDEX(precio_agencias,1,$B$2)*meses_anio</f>
        <v>165000</v>
      </c>
    </row>
    <row r="44" customFormat="false" ht="15" hidden="false" customHeight="false" outlineLevel="0" collapsed="false">
      <c r="A44" s="0" t="s">
        <v>271</v>
      </c>
      <c r="C44" s="0" t="n">
        <f aca="false">C35*INDEX(precio_organismos,1,$B$2)</f>
        <v>0</v>
      </c>
      <c r="D44" s="0" t="n">
        <f aca="false">D35*INDEX(precio_organismos,1,$B$2)</f>
        <v>0</v>
      </c>
      <c r="E44" s="0" t="n">
        <f aca="false">E35*INDEX(precio_organismos,1,$B$2)</f>
        <v>40000</v>
      </c>
      <c r="F44" s="0" t="n">
        <f aca="false">F35*INDEX(precio_organismos,1,$B$2)</f>
        <v>0</v>
      </c>
      <c r="G44" s="0" t="n">
        <f aca="false">G35*INDEX(precio_organismos,1,$B$2)</f>
        <v>40000</v>
      </c>
    </row>
    <row r="45" customFormat="false" ht="15" hidden="false" customHeight="false" outlineLevel="0" collapsed="false">
      <c r="A45" s="0" t="s">
        <v>272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273</v>
      </c>
    </row>
    <row r="48" customFormat="false" ht="15" hidden="false" customHeight="false" outlineLevel="0" collapsed="false">
      <c r="A48" s="0" t="s">
        <v>274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275</v>
      </c>
      <c r="B49" s="0" t="n">
        <f aca="false">inv_infraestructura_0</f>
        <v>168</v>
      </c>
      <c r="C49" s="0" t="n">
        <f aca="false">meses_anio*(infra_base+infra_escalado*C7/ua_escalado)+dominio_anual</f>
        <v>627</v>
      </c>
      <c r="D49" s="0" t="n">
        <f aca="false">meses_anio*(infra_base+infra_escalado*D7/ua_escalado)+dominio_anual</f>
        <v>699</v>
      </c>
      <c r="E49" s="0" t="n">
        <f aca="false">meses_anio*(infra_base+infra_escalado*E7/ua_escalado)+dominio_anual</f>
        <v>843</v>
      </c>
      <c r="F49" s="0" t="n">
        <f aca="false">meses_anio*(infra_base+infra_escalado*F7/ua_escalado)+dominio_anual</f>
        <v>1083</v>
      </c>
      <c r="G49" s="0" t="n">
        <f aca="false">meses_anio*(infra_base+infra_escalado*G7/ua_escalado)+dominio_anual</f>
        <v>1323</v>
      </c>
    </row>
    <row r="50" customFormat="false" ht="15" hidden="false" customHeight="false" outlineLevel="0" collapsed="false">
      <c r="A50" s="0" t="s">
        <v>276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277</v>
      </c>
      <c r="C51" s="0" t="n">
        <f aca="false">INDEX(marketing,C$3,$B$2)</f>
        <v>4000</v>
      </c>
      <c r="D51" s="0" t="n">
        <f aca="false">INDEX(marketing,D$3,$B$2)</f>
        <v>6000</v>
      </c>
      <c r="E51" s="0" t="n">
        <f aca="false">INDEX(marketing,E$3,$B$2)</f>
        <v>8000</v>
      </c>
      <c r="F51" s="0" t="n">
        <f aca="false">INDEX(marketing,F$3,$B$2)</f>
        <v>10000</v>
      </c>
      <c r="G51" s="0" t="n">
        <f aca="false">INDEX(marketing,G$3,$B$2)</f>
        <v>12000</v>
      </c>
    </row>
    <row r="52" customFormat="false" ht="15" hidden="false" customHeight="false" outlineLevel="0" collapsed="false">
      <c r="A52" s="0" t="s">
        <v>278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279</v>
      </c>
      <c r="C53" s="0" t="n">
        <f aca="false">C7*INDEX(analisis_por_ua_mes,1,$B$2)*meses_anio*(1-INDEX(tasa_reuso,1,$B$2))*INDEX(costo_analisis,1,$B$2)</f>
        <v>5677.9776</v>
      </c>
      <c r="D53" s="0" t="n">
        <f aca="false">D7*INDEX(analisis_por_ua_mes,1,$B$2)*meses_anio*(1-INDEX(tasa_reuso,1,$B$2))*INDEX(costo_analisis,1,$B$2)</f>
        <v>22711.9104</v>
      </c>
      <c r="E53" s="0" t="n">
        <f aca="false">E7*INDEX(analisis_por_ua_mes,1,$B$2)*meses_anio*(1-INDEX(tasa_reuso,1,$B$2))*INDEX(costo_analisis,1,$B$2)</f>
        <v>56779.776</v>
      </c>
      <c r="F53" s="0" t="n">
        <f aca="false">F7*INDEX(analisis_por_ua_mes,1,$B$2)*meses_anio*(1-INDEX(tasa_reuso,1,$B$2))*INDEX(costo_analisis,1,$B$2)</f>
        <v>113559.552</v>
      </c>
      <c r="G53" s="0" t="n">
        <f aca="false">G7*INDEX(analisis_por_ua_mes,1,$B$2)*meses_anio*(1-INDEX(tasa_reuso,1,$B$2))*INDEX(costo_analisis,1,$B$2)</f>
        <v>170339.328</v>
      </c>
    </row>
    <row r="54" customFormat="false" ht="15" hidden="false" customHeight="false" outlineLevel="0" collapsed="false">
      <c r="A54" s="0" t="s">
        <v>280</v>
      </c>
      <c r="C54" s="0" t="n">
        <f aca="false">((C19+C24)*INDEX(consultas_pro_mes,1,$B$2)+(C14+C34)*INDEX(consultas_ent_mes,1,$B$2))*meses_anio*(1-INDEX(tasa_reuso,1,$B$2))*INDEX(costo_analisis,1,$B$2)</f>
        <v>0</v>
      </c>
      <c r="D54" s="0" t="n">
        <f aca="false">((D19+D24)*INDEX(consultas_pro_mes,1,$B$2)+(D14+D34)*INDEX(consultas_ent_mes,1,$B$2))*meses_anio*(1-INDEX(tasa_reuso,1,$B$2))*INDEX(costo_analisis,1,$B$2)</f>
        <v>17033.9328</v>
      </c>
      <c r="E54" s="0" t="n">
        <f aca="false">((E19+E24)*INDEX(consultas_pro_mes,1,$B$2)+(E14+E34)*INDEX(consultas_ent_mes,1,$B$2))*meses_anio*(1-INDEX(tasa_reuso,1,$B$2))*INDEX(costo_analisis,1,$B$2)</f>
        <v>50155.4688</v>
      </c>
      <c r="F54" s="0" t="n">
        <f aca="false">((F19+F24)*INDEX(consultas_pro_mes,1,$B$2)+(F14+F34)*INDEX(consultas_ent_mes,1,$B$2))*meses_anio*(1-INDEX(tasa_reuso,1,$B$2))*INDEX(costo_analisis,1,$B$2)</f>
        <v>76652.6976</v>
      </c>
      <c r="G54" s="0" t="n">
        <f aca="false">((G19+G24)*INDEX(consultas_pro_mes,1,$B$2)+(G14+G34)*INDEX(consultas_ent_mes,1,$B$2))*meses_anio*(1-INDEX(tasa_reuso,1,$B$2))*INDEX(costo_analisis,1,$B$2)</f>
        <v>97471.9488</v>
      </c>
    </row>
    <row r="55" customFormat="false" ht="15" hidden="false" customHeight="false" outlineLevel="0" collapsed="false">
      <c r="A55" s="0" t="s">
        <v>281</v>
      </c>
      <c r="B55" s="0" t="n">
        <f aca="false">SUM(B48:B54)</f>
        <v>21132.6666666667</v>
      </c>
      <c r="C55" s="0" t="n">
        <f aca="false">SUM(C48:C54)</f>
        <v>35001.2776</v>
      </c>
      <c r="D55" s="0" t="n">
        <f aca="false">SUM(D48:D54)</f>
        <v>72362.8182</v>
      </c>
      <c r="E55" s="0" t="n">
        <f aca="false">SUM(E48:E54)</f>
        <v>147096.17855</v>
      </c>
      <c r="F55" s="0" t="n">
        <f aca="false">SUM(F48:F54)</f>
        <v>233960.0800375</v>
      </c>
      <c r="G55" s="0" t="n">
        <f aca="false">SUM(G48:G54)</f>
        <v>315213.348759375</v>
      </c>
    </row>
    <row r="57" customFormat="false" ht="15" hidden="false" customHeight="false" outlineLevel="0" collapsed="false">
      <c r="A57" s="1" t="s">
        <v>282</v>
      </c>
    </row>
    <row r="58" customFormat="false" ht="15" hidden="false" customHeight="false" outlineLevel="0" collapsed="false">
      <c r="A58" s="0" t="s">
        <v>283</v>
      </c>
      <c r="B58" s="0" t="n">
        <f aca="false">B45-B55</f>
        <v>-21132.6666666667</v>
      </c>
      <c r="C58" s="0" t="n">
        <f aca="false">C45-C55</f>
        <v>-35001.2776</v>
      </c>
      <c r="D58" s="0" t="n">
        <f aca="false">D45-D55</f>
        <v>-14762.8182</v>
      </c>
      <c r="E58" s="0" t="n">
        <f aca="false">E45-E55</f>
        <v>62703.82145</v>
      </c>
      <c r="F58" s="0" t="n">
        <f aca="false">F45-F55</f>
        <v>25839.9199625</v>
      </c>
      <c r="G58" s="0" t="n">
        <f aca="false">G45-G55</f>
        <v>54186.651240625</v>
      </c>
    </row>
    <row r="59" customFormat="false" ht="15" hidden="false" customHeight="false" outlineLevel="0" collapsed="false">
      <c r="A59" s="0" t="s">
        <v>284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285</v>
      </c>
      <c r="B60" s="0" t="n">
        <f aca="false">B58*B59</f>
        <v>-21132.6666666667</v>
      </c>
      <c r="C60" s="0" t="n">
        <f aca="false">C58*C59</f>
        <v>-28001.02208</v>
      </c>
      <c r="D60" s="0" t="n">
        <f aca="false">D58*D59</f>
        <v>-9448.203648</v>
      </c>
      <c r="E60" s="0" t="n">
        <f aca="false">E58*E59</f>
        <v>32104.3565824</v>
      </c>
      <c r="F60" s="0" t="n">
        <f aca="false">F58*F59</f>
        <v>10584.03121664</v>
      </c>
      <c r="G60" s="0" t="n">
        <f aca="false">G58*G59</f>
        <v>17755.881878528</v>
      </c>
    </row>
    <row r="61" customFormat="false" ht="15" hidden="false" customHeight="false" outlineLevel="0" collapsed="false">
      <c r="A61" s="0" t="s">
        <v>286</v>
      </c>
      <c r="B61" s="0" t="n">
        <f aca="false">B58</f>
        <v>-21132.6666666667</v>
      </c>
      <c r="C61" s="0" t="n">
        <f aca="false">B61+C58</f>
        <v>-56133.9442666667</v>
      </c>
      <c r="D61" s="0" t="n">
        <f aca="false">C61+D58</f>
        <v>-70896.7624666667</v>
      </c>
      <c r="E61" s="0" t="n">
        <f aca="false">D61+E58</f>
        <v>-8192.94101666668</v>
      </c>
      <c r="F61" s="0" t="n">
        <f aca="false">E61+F58</f>
        <v>17646.9789458333</v>
      </c>
      <c r="G61" s="0" t="n">
        <f aca="false">F61+G58</f>
        <v>71833.6301864583</v>
      </c>
    </row>
    <row r="62" customFormat="false" ht="15" hidden="false" customHeight="false" outlineLevel="0" collapsed="false">
      <c r="A62" s="0" t="s">
        <v>287</v>
      </c>
      <c r="B62" s="0" t="n">
        <f aca="false">B60</f>
        <v>-21132.6666666667</v>
      </c>
      <c r="C62" s="0" t="n">
        <f aca="false">B62+C60</f>
        <v>-49133.6887466667</v>
      </c>
      <c r="D62" s="0" t="n">
        <f aca="false">C62+D60</f>
        <v>-58581.8923946667</v>
      </c>
      <c r="E62" s="0" t="n">
        <f aca="false">D62+E60</f>
        <v>-26477.5358122667</v>
      </c>
      <c r="F62" s="0" t="n">
        <f aca="false">E62+F60</f>
        <v>-15893.5045956267</v>
      </c>
      <c r="G62" s="0" t="n">
        <f aca="false">F62+G60</f>
        <v>1862.37728290134</v>
      </c>
    </row>
    <row r="63" customFormat="false" ht="15" hidden="false" customHeight="false" outlineLevel="0" collapsed="false">
      <c r="A63" s="0" t="s">
        <v>288</v>
      </c>
      <c r="C63" s="0" t="str">
        <f aca="false">IF(AND(B61&lt;0,C61&gt;=0),C$3-1+(-B61)/C58,"")</f>
        <v/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n">
        <f aca="false">IF(AND(E61&lt;0,F61&gt;=0),F$3-1+(-E61)/F58,"")</f>
        <v>3.31706526291709</v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289</v>
      </c>
      <c r="C64" s="0" t="str">
        <f aca="false">IF(AND(B62&lt;0,C62&gt;=0),C$3-1+(-B62)/C60,"")</f>
        <v/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n">
        <f aca="false">IF(AND(F62&lt;0,G62&gt;=0),G$3-1+(-F62)/G60,"")</f>
        <v>4.89511209324086</v>
      </c>
    </row>
    <row r="66" customFormat="false" ht="15" hidden="false" customHeight="false" outlineLevel="0" collapsed="false">
      <c r="A66" s="1" t="s">
        <v>290</v>
      </c>
    </row>
    <row r="67" customFormat="false" ht="15" hidden="false" customHeight="false" outlineLevel="0" collapsed="false">
      <c r="A67" s="0" t="s">
        <v>225</v>
      </c>
      <c r="B67" s="0" t="n">
        <f aca="false">SUM(B60:G60)</f>
        <v>1862.37728290133</v>
      </c>
    </row>
    <row r="68" customFormat="false" ht="15" hidden="false" customHeight="false" outlineLevel="0" collapsed="false">
      <c r="A68" s="0" t="s">
        <v>226</v>
      </c>
      <c r="B68" s="2" t="n">
        <f aca="false">IFERROR(IRR(B58:G58),"no definida")</f>
        <v>0.26328384883344</v>
      </c>
    </row>
    <row r="69" customFormat="false" ht="15" hidden="false" customHeight="false" outlineLevel="0" collapsed="false">
      <c r="A69" s="0" t="s">
        <v>227</v>
      </c>
      <c r="B69" s="0" t="n">
        <f aca="false">IF(COUNT(C63:G63)=0,"no se recupera",MIN(C63:G63))</f>
        <v>3.31706526291709</v>
      </c>
    </row>
    <row r="70" customFormat="false" ht="15" hidden="false" customHeight="false" outlineLevel="0" collapsed="false">
      <c r="A70" s="0" t="s">
        <v>228</v>
      </c>
      <c r="B70" s="0" t="n">
        <f aca="false">IF(COUNT(C64:G64)=0,"no se recupera",MIN(C64:G64))</f>
        <v>4.89511209324086</v>
      </c>
    </row>
    <row r="71" customFormat="false" ht="15" hidden="false" customHeight="false" outlineLevel="0" collapsed="false">
      <c r="A71" s="0" t="s">
        <v>230</v>
      </c>
      <c r="B71" s="0" t="n">
        <f aca="false">IFERROR(G45/G36,"no definido")</f>
        <v>8901.20481927711</v>
      </c>
    </row>
    <row r="72" customFormat="false" ht="15" hidden="false" customHeight="false" outlineLevel="0" collapsed="false">
      <c r="A72" s="0" t="s">
        <v>229</v>
      </c>
      <c r="B72" s="0" t="n">
        <f aca="false">IFERROR(ROUNDUP(G55/B71,0),"no definido")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292</v>
      </c>
    </row>
    <row r="2" customFormat="false" ht="15" hidden="false" customHeight="false" outlineLevel="0" collapsed="false">
      <c r="A2" s="0" t="s">
        <v>232</v>
      </c>
      <c r="B2" s="0" t="n">
        <v>3</v>
      </c>
    </row>
    <row r="3" customFormat="false" ht="15" hidden="false" customHeight="false" outlineLevel="0" collapsed="false">
      <c r="A3" s="0" t="s">
        <v>233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236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0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237</v>
      </c>
      <c r="C7" s="0" t="n">
        <f aca="false">INDEX(usuarios_activos,C$3,$B$2)</f>
        <v>500</v>
      </c>
      <c r="D7" s="0" t="n">
        <f aca="false">INDEX(usuarios_activos,D$3,$B$2)</f>
        <v>2000</v>
      </c>
      <c r="E7" s="0" t="n">
        <f aca="false">INDEX(usuarios_activos,E$3,$B$2)</f>
        <v>5000</v>
      </c>
      <c r="F7" s="0" t="n">
        <f aca="false">INDEX(usuarios_activos,F$3,$B$2)</f>
        <v>8000</v>
      </c>
      <c r="G7" s="0" t="n">
        <f aca="false">INDEX(usuarios_activos,G$3,$B$2)</f>
        <v>10000</v>
      </c>
    </row>
    <row r="9" customFormat="false" ht="15" hidden="false" customHeight="false" outlineLevel="0" collapsed="false">
      <c r="A9" s="1" t="s">
        <v>163</v>
      </c>
    </row>
    <row r="10" customFormat="false" ht="15" hidden="false" customHeight="false" outlineLevel="0" collapsed="false">
      <c r="A10" s="0" t="s">
        <v>238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239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240</v>
      </c>
      <c r="C12" s="0" t="n">
        <f aca="false">C6*ROUND(INDEX(capt_medios_grandes,1,$B$2)*(u_medios_grandes-C10),0)</f>
        <v>0</v>
      </c>
      <c r="D12" s="0" t="n">
        <f aca="false">D6*ROUND(INDEX(capt_medios_grandes,1,$B$2)*(u_medios_grandes-D10),0)</f>
        <v>0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0</v>
      </c>
      <c r="G12" s="0" t="n">
        <f aca="false">G6*ROUND(INDEX(capt_medios_grandes,1,$B$2)*(u_medios_grandes-G10),0)</f>
        <v>0</v>
      </c>
    </row>
    <row r="13" customFormat="false" ht="15" hidden="false" customHeight="false" outlineLevel="0" collapsed="false">
      <c r="A13" s="0" t="s">
        <v>241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242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243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244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245</v>
      </c>
      <c r="C17" s="0" t="n">
        <f aca="false">C6*ROUND(INDEX(capt_medios_chicos,1,$B$2)*(u_medios_chicos-C15),0)</f>
        <v>0</v>
      </c>
      <c r="D17" s="0" t="n">
        <f aca="false">D6*ROUND(INDEX(capt_medios_chicos,1,$B$2)*(u_medios_chicos-D15),0)</f>
        <v>0</v>
      </c>
      <c r="E17" s="0" t="n">
        <f aca="false">E6*ROUND(INDEX(capt_medios_chicos,1,$B$2)*(u_medios_chicos-E15),0)</f>
        <v>2</v>
      </c>
      <c r="F17" s="0" t="n">
        <f aca="false">F6*ROUND(INDEX(capt_medios_chicos,1,$B$2)*(u_medios_chicos-F15),0)</f>
        <v>2</v>
      </c>
      <c r="G17" s="0" t="n">
        <f aca="false">G6*ROUND(INDEX(capt_medios_chicos,1,$B$2)*(u_medios_chicos-G15),0)</f>
        <v>2</v>
      </c>
    </row>
    <row r="18" customFormat="false" ht="15" hidden="false" customHeight="false" outlineLevel="0" collapsed="false">
      <c r="A18" s="0" t="s">
        <v>246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247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248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249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250</v>
      </c>
      <c r="C22" s="0" t="n">
        <f aca="false">C6*ROUND(INDEX(capt_verificadores,1,$B$2)*(u_verificadores-C20),0)</f>
        <v>0</v>
      </c>
      <c r="D22" s="0" t="n">
        <f aca="false">D6*ROUND(INDEX(capt_verificadores,1,$B$2)*(u_verificadores-D20),0)</f>
        <v>0</v>
      </c>
      <c r="E22" s="0" t="n">
        <f aca="false">E6*ROUND(INDEX(capt_verificadores,1,$B$2)*(u_verificadores-E20),0)</f>
        <v>1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251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252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253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254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255</v>
      </c>
      <c r="C27" s="0" t="n">
        <f aca="false">C6*ROUND(INDEX(capt_universidades,1,$B$2)*(u_universidades-C25),0)</f>
        <v>0</v>
      </c>
      <c r="D27" s="0" t="n">
        <f aca="false">D6*ROUND(INDEX(capt_universidades,1,$B$2)*(u_universidades-D25),0)</f>
        <v>0</v>
      </c>
      <c r="E27" s="0" t="n">
        <f aca="false">E6*ROUND(INDEX(capt_universidades,1,$B$2)*(u_universidades-E25),0)</f>
        <v>3</v>
      </c>
      <c r="F27" s="0" t="n">
        <f aca="false">F6*ROUND(INDEX(capt_universidades,1,$B$2)*(u_universidades-F25),0)</f>
        <v>3</v>
      </c>
      <c r="G27" s="0" t="n">
        <f aca="false">G6*ROUND(INDEX(capt_universidades,1,$B$2)*(u_universidades-G25),0)</f>
        <v>3</v>
      </c>
    </row>
    <row r="28" customFormat="false" ht="15" hidden="false" customHeight="false" outlineLevel="0" collapsed="false">
      <c r="A28" s="0" t="s">
        <v>256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257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258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259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260</v>
      </c>
      <c r="C32" s="0" t="n">
        <f aca="false">C6*ROUND(INDEX(capt_agencias,1,$B$2)*(u_agencias-C30),0)</f>
        <v>0</v>
      </c>
      <c r="D32" s="0" t="n">
        <f aca="false">D6*ROUND(INDEX(capt_agencias,1,$B$2)*(u_agencias-D30),0)</f>
        <v>0</v>
      </c>
      <c r="E32" s="0" t="n">
        <f aca="false">E6*ROUND(INDEX(capt_agencias,1,$B$2)*(u_agencias-E30),0)</f>
        <v>1</v>
      </c>
      <c r="F32" s="0" t="n">
        <f aca="false">F6*ROUND(INDEX(capt_agencias,1,$B$2)*(u_agencias-F30),0)</f>
        <v>1</v>
      </c>
      <c r="G32" s="0" t="n">
        <f aca="false">G6*ROUND(INDEX(capt_agencias,1,$B$2)*(u_agencias-G30),0)</f>
        <v>1</v>
      </c>
    </row>
    <row r="33" customFormat="false" ht="15" hidden="false" customHeight="false" outlineLevel="0" collapsed="false">
      <c r="A33" s="0" t="s">
        <v>261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262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263</v>
      </c>
      <c r="C35" s="0" t="n">
        <f aca="false">C5*C6*ROUND(INDEX(capt_organismos,1,$B$2)*u_organismos,0)</f>
        <v>0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1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1</v>
      </c>
    </row>
    <row r="36" customFormat="false" ht="15" hidden="false" customHeight="false" outlineLevel="0" collapsed="false">
      <c r="A36" s="0" t="s">
        <v>264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265</v>
      </c>
    </row>
    <row r="39" customFormat="false" ht="15" hidden="false" customHeight="false" outlineLevel="0" collapsed="false">
      <c r="A39" s="0" t="s">
        <v>266</v>
      </c>
      <c r="C39" s="0" t="n">
        <f aca="false">C14*INDEX(precio_medios_grandes,1,$B$2)*meses_anio</f>
        <v>0</v>
      </c>
      <c r="D39" s="0" t="n">
        <f aca="false">D14*INDEX(precio_medios_grandes,1,$B$2)*meses_anio</f>
        <v>0</v>
      </c>
      <c r="E39" s="0" t="n">
        <f aca="false">E14*INDEX(precio_medios_grandes,1,$B$2)*meses_anio</f>
        <v>9000</v>
      </c>
      <c r="F39" s="0" t="n">
        <f aca="false">F14*INDEX(precio_medios_grandes,1,$B$2)*meses_anio</f>
        <v>18000</v>
      </c>
      <c r="G39" s="0" t="n">
        <f aca="false">G14*INDEX(precio_medios_grandes,1,$B$2)*meses_anio</f>
        <v>18000</v>
      </c>
    </row>
    <row r="40" customFormat="false" ht="15" hidden="false" customHeight="false" outlineLevel="0" collapsed="false">
      <c r="A40" s="0" t="s">
        <v>267</v>
      </c>
      <c r="C40" s="0" t="n">
        <f aca="false">C19*precio_medios_chicos*meses_anio</f>
        <v>0</v>
      </c>
      <c r="D40" s="0" t="n">
        <f aca="false">D19*precio_medios_chicos*meses_anio</f>
        <v>0</v>
      </c>
      <c r="E40" s="0" t="n">
        <f aca="false">E19*precio_medios_chicos*meses_anio</f>
        <v>2400</v>
      </c>
      <c r="F40" s="0" t="n">
        <f aca="false">F19*precio_medios_chicos*meses_anio</f>
        <v>6000</v>
      </c>
      <c r="G40" s="0" t="n">
        <f aca="false">G19*precio_medios_chicos*meses_anio</f>
        <v>8400</v>
      </c>
    </row>
    <row r="41" customFormat="false" ht="15" hidden="false" customHeight="false" outlineLevel="0" collapsed="false">
      <c r="A41" s="0" t="s">
        <v>268</v>
      </c>
      <c r="C41" s="0" t="n">
        <f aca="false">C24*precio_verificadores*meses_anio</f>
        <v>0</v>
      </c>
      <c r="D41" s="0" t="n">
        <f aca="false">D24*precio_verificadores*meses_anio</f>
        <v>0</v>
      </c>
      <c r="E41" s="0" t="n">
        <f aca="false">E24*precio_verificadores*meses_anio</f>
        <v>3000</v>
      </c>
      <c r="F41" s="0" t="n">
        <f aca="false">F24*precio_verificadores*meses_anio</f>
        <v>6000</v>
      </c>
      <c r="G41" s="0" t="n">
        <f aca="false">G24*precio_verificadores*meses_anio</f>
        <v>6000</v>
      </c>
    </row>
    <row r="42" customFormat="false" ht="15" hidden="false" customHeight="false" outlineLevel="0" collapsed="false">
      <c r="A42" s="0" t="s">
        <v>269</v>
      </c>
      <c r="C42" s="0" t="n">
        <f aca="false">C29*precio_universidades*meses_anio</f>
        <v>0</v>
      </c>
      <c r="D42" s="0" t="n">
        <f aca="false">D29*precio_universidades*meses_anio</f>
        <v>0</v>
      </c>
      <c r="E42" s="0" t="n">
        <f aca="false">E29*precio_universidades*meses_anio</f>
        <v>1800</v>
      </c>
      <c r="F42" s="0" t="n">
        <f aca="false">F29*precio_universidades*meses_anio</f>
        <v>5400</v>
      </c>
      <c r="G42" s="0" t="n">
        <f aca="false">G29*precio_universidades*meses_anio</f>
        <v>8400</v>
      </c>
    </row>
    <row r="43" customFormat="false" ht="15" hidden="false" customHeight="false" outlineLevel="0" collapsed="false">
      <c r="A43" s="0" t="s">
        <v>270</v>
      </c>
      <c r="C43" s="0" t="n">
        <f aca="false">C34*INDEX(precio_agencias,1,$B$2)*meses_anio</f>
        <v>0</v>
      </c>
      <c r="D43" s="0" t="n">
        <f aca="false">D34*INDEX(precio_agencias,1,$B$2)*meses_anio</f>
        <v>0</v>
      </c>
      <c r="E43" s="0" t="n">
        <f aca="false">E34*INDEX(precio_agencias,1,$B$2)*meses_anio</f>
        <v>9000</v>
      </c>
      <c r="F43" s="0" t="n">
        <f aca="false">F34*INDEX(precio_agencias,1,$B$2)*meses_anio</f>
        <v>27000</v>
      </c>
      <c r="G43" s="0" t="n">
        <f aca="false">G34*INDEX(precio_agencias,1,$B$2)*meses_anio</f>
        <v>36000</v>
      </c>
    </row>
    <row r="44" customFormat="false" ht="15" hidden="false" customHeight="false" outlineLevel="0" collapsed="false">
      <c r="A44" s="0" t="s">
        <v>271</v>
      </c>
      <c r="C44" s="0" t="n">
        <f aca="false">C35*INDEX(precio_organismos,1,$B$2)</f>
        <v>0</v>
      </c>
      <c r="D44" s="0" t="n">
        <f aca="false">D35*INDEX(precio_organismos,1,$B$2)</f>
        <v>0</v>
      </c>
      <c r="E44" s="0" t="n">
        <f aca="false">E35*INDEX(precio_organismos,1,$B$2)</f>
        <v>10000</v>
      </c>
      <c r="F44" s="0" t="n">
        <f aca="false">F35*INDEX(precio_organismos,1,$B$2)</f>
        <v>0</v>
      </c>
      <c r="G44" s="0" t="n">
        <f aca="false">G35*INDEX(precio_organismos,1,$B$2)</f>
        <v>10000</v>
      </c>
    </row>
    <row r="45" customFormat="false" ht="15" hidden="false" customHeight="false" outlineLevel="0" collapsed="false">
      <c r="A45" s="0" t="s">
        <v>272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273</v>
      </c>
    </row>
    <row r="48" customFormat="false" ht="15" hidden="false" customHeight="false" outlineLevel="0" collapsed="false">
      <c r="A48" s="0" t="s">
        <v>274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275</v>
      </c>
      <c r="B49" s="0" t="n">
        <f aca="false">inv_infraestructura_0</f>
        <v>168</v>
      </c>
      <c r="C49" s="0" t="n">
        <f aca="false">meses_anio*(infra_base+infra_escalado*C7/ua_escalado)+dominio_anual</f>
        <v>609</v>
      </c>
      <c r="D49" s="0" t="n">
        <f aca="false">meses_anio*(infra_base+infra_escalado*D7/ua_escalado)+dominio_anual</f>
        <v>627</v>
      </c>
      <c r="E49" s="0" t="n">
        <f aca="false">meses_anio*(infra_base+infra_escalado*E7/ua_escalado)+dominio_anual</f>
        <v>663</v>
      </c>
      <c r="F49" s="0" t="n">
        <f aca="false">meses_anio*(infra_base+infra_escalado*F7/ua_escalado)+dominio_anual</f>
        <v>699</v>
      </c>
      <c r="G49" s="0" t="n">
        <f aca="false">meses_anio*(infra_base+infra_escalado*G7/ua_escalado)+dominio_anual</f>
        <v>723</v>
      </c>
    </row>
    <row r="50" customFormat="false" ht="15" hidden="false" customHeight="false" outlineLevel="0" collapsed="false">
      <c r="A50" s="0" t="s">
        <v>276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262.8</v>
      </c>
      <c r="F50" s="0" t="n">
        <f aca="false">horas_anio*IF(INDEX(hosting_gpu_activo,F$3,$B$2)=1,hosting_gpu,hosting_cpu)</f>
        <v>262.8</v>
      </c>
      <c r="G50" s="0" t="n">
        <f aca="false">horas_anio*IF(INDEX(hosting_gpu_activo,G$3,$B$2)=1,hosting_gpu,hosting_cpu)</f>
        <v>262.8</v>
      </c>
    </row>
    <row r="51" customFormat="false" ht="15" hidden="false" customHeight="false" outlineLevel="0" collapsed="false">
      <c r="A51" s="0" t="s">
        <v>277</v>
      </c>
      <c r="C51" s="0" t="n">
        <f aca="false">INDEX(marketing,C$3,$B$2)</f>
        <v>2000</v>
      </c>
      <c r="D51" s="0" t="n">
        <f aca="false">INDEX(marketing,D$3,$B$2)</f>
        <v>3000</v>
      </c>
      <c r="E51" s="0" t="n">
        <f aca="false">INDEX(marketing,E$3,$B$2)</f>
        <v>4000</v>
      </c>
      <c r="F51" s="0" t="n">
        <f aca="false">INDEX(marketing,F$3,$B$2)</f>
        <v>5000</v>
      </c>
      <c r="G51" s="0" t="n">
        <f aca="false">INDEX(marketing,G$3,$B$2)</f>
        <v>6000</v>
      </c>
    </row>
    <row r="52" customFormat="false" ht="15" hidden="false" customHeight="false" outlineLevel="0" collapsed="false">
      <c r="A52" s="0" t="s">
        <v>278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279</v>
      </c>
      <c r="C53" s="0" t="n">
        <f aca="false">C7*INDEX(analisis_por_ua_mes,1,$B$2)*meses_anio*(1-INDEX(tasa_reuso,1,$B$2))*INDEX(costo_analisis,1,$B$2)</f>
        <v>1230.0336</v>
      </c>
      <c r="D53" s="0" t="n">
        <f aca="false">D7*INDEX(analisis_por_ua_mes,1,$B$2)*meses_anio*(1-INDEX(tasa_reuso,1,$B$2))*INDEX(costo_analisis,1,$B$2)</f>
        <v>4920.1344</v>
      </c>
      <c r="E53" s="0" t="n">
        <f aca="false">E7*INDEX(analisis_por_ua_mes,1,$B$2)*meses_anio*(1-INDEX(tasa_reuso,1,$B$2))*INDEX(costo_analisis,1,$B$2)</f>
        <v>12300.336</v>
      </c>
      <c r="F53" s="0" t="n">
        <f aca="false">F7*INDEX(analisis_por_ua_mes,1,$B$2)*meses_anio*(1-INDEX(tasa_reuso,1,$B$2))*INDEX(costo_analisis,1,$B$2)</f>
        <v>19680.5376</v>
      </c>
      <c r="G53" s="0" t="n">
        <f aca="false">G7*INDEX(analisis_por_ua_mes,1,$B$2)*meses_anio*(1-INDEX(tasa_reuso,1,$B$2))*INDEX(costo_analisis,1,$B$2)</f>
        <v>24600.672</v>
      </c>
    </row>
    <row r="54" customFormat="false" ht="15" hidden="false" customHeight="false" outlineLevel="0" collapsed="false">
      <c r="A54" s="0" t="s">
        <v>280</v>
      </c>
      <c r="C54" s="0" t="n">
        <f aca="false">((C19+C24)*INDEX(consultas_pro_mes,1,$B$2)+(C14+C34)*INDEX(consultas_ent_mes,1,$B$2))*meses_anio*(1-INDEX(tasa_reuso,1,$B$2))*INDEX(costo_analisis,1,$B$2)</f>
        <v>0</v>
      </c>
      <c r="D54" s="0" t="n">
        <f aca="false">((D19+D24)*INDEX(consultas_pro_mes,1,$B$2)+(D14+D34)*INDEX(consultas_ent_mes,1,$B$2))*meses_anio*(1-INDEX(tasa_reuso,1,$B$2))*INDEX(costo_analisis,1,$B$2)</f>
        <v>0</v>
      </c>
      <c r="E54" s="0" t="n">
        <f aca="false">((E19+E24)*INDEX(consultas_pro_mes,1,$B$2)+(E14+E34)*INDEX(consultas_ent_mes,1,$B$2))*meses_anio*(1-INDEX(tasa_reuso,1,$B$2))*INDEX(costo_analisis,1,$B$2)</f>
        <v>37721.0304</v>
      </c>
      <c r="F54" s="0" t="n">
        <f aca="false">((F19+F24)*INDEX(consultas_pro_mes,1,$B$2)+(F14+F34)*INDEX(consultas_ent_mes,1,$B$2))*meses_anio*(1-INDEX(tasa_reuso,1,$B$2))*INDEX(costo_analisis,1,$B$2)</f>
        <v>93482.5536</v>
      </c>
      <c r="G54" s="0" t="n">
        <f aca="false">((G19+G24)*INDEX(consultas_pro_mes,1,$B$2)+(G14+G34)*INDEX(consultas_ent_mes,1,$B$2))*meses_anio*(1-INDEX(tasa_reuso,1,$B$2))*INDEX(costo_analisis,1,$B$2)</f>
        <v>113163.0912</v>
      </c>
    </row>
    <row r="55" customFormat="false" ht="15" hidden="false" customHeight="false" outlineLevel="0" collapsed="false">
      <c r="A55" s="0" t="s">
        <v>281</v>
      </c>
      <c r="B55" s="0" t="n">
        <f aca="false">SUM(B48:B54)</f>
        <v>21132.6666666667</v>
      </c>
      <c r="C55" s="0" t="n">
        <f aca="false">SUM(C48:C54)</f>
        <v>28535.3336</v>
      </c>
      <c r="D55" s="0" t="n">
        <f aca="false">SUM(D48:D54)</f>
        <v>34465.1094</v>
      </c>
      <c r="E55" s="0" t="n">
        <f aca="false">SUM(E48:E54)</f>
        <v>81885.10015</v>
      </c>
      <c r="F55" s="0" t="n">
        <f aca="false">SUM(F48:F54)</f>
        <v>147409.7216375</v>
      </c>
      <c r="G55" s="0" t="n">
        <f aca="false">SUM(G48:G54)</f>
        <v>174448.635159375</v>
      </c>
    </row>
    <row r="57" customFormat="false" ht="15" hidden="false" customHeight="false" outlineLevel="0" collapsed="false">
      <c r="A57" s="1" t="s">
        <v>282</v>
      </c>
    </row>
    <row r="58" customFormat="false" ht="15" hidden="false" customHeight="false" outlineLevel="0" collapsed="false">
      <c r="A58" s="0" t="s">
        <v>283</v>
      </c>
      <c r="B58" s="0" t="n">
        <f aca="false">B45-B55</f>
        <v>-21132.6666666667</v>
      </c>
      <c r="C58" s="0" t="n">
        <f aca="false">C45-C55</f>
        <v>-28535.3336</v>
      </c>
      <c r="D58" s="0" t="n">
        <f aca="false">D45-D55</f>
        <v>-34465.1094</v>
      </c>
      <c r="E58" s="0" t="n">
        <f aca="false">E45-E55</f>
        <v>-46685.10015</v>
      </c>
      <c r="F58" s="0" t="n">
        <f aca="false">F45-F55</f>
        <v>-85009.7216375</v>
      </c>
      <c r="G58" s="0" t="n">
        <f aca="false">G45-G55</f>
        <v>-87648.635159375</v>
      </c>
    </row>
    <row r="59" customFormat="false" ht="15" hidden="false" customHeight="false" outlineLevel="0" collapsed="false">
      <c r="A59" s="0" t="s">
        <v>284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285</v>
      </c>
      <c r="B60" s="0" t="n">
        <f aca="false">B58*B59</f>
        <v>-21132.6666666667</v>
      </c>
      <c r="C60" s="0" t="n">
        <f aca="false">C58*C59</f>
        <v>-22828.26688</v>
      </c>
      <c r="D60" s="0" t="n">
        <f aca="false">D58*D59</f>
        <v>-22057.670016</v>
      </c>
      <c r="E60" s="0" t="n">
        <f aca="false">E58*E59</f>
        <v>-23902.7712768</v>
      </c>
      <c r="F60" s="0" t="n">
        <f aca="false">F58*F59</f>
        <v>-34819.98198272</v>
      </c>
      <c r="G60" s="0" t="n">
        <f aca="false">G58*G59</f>
        <v>-28720.704769024</v>
      </c>
    </row>
    <row r="61" customFormat="false" ht="15" hidden="false" customHeight="false" outlineLevel="0" collapsed="false">
      <c r="A61" s="0" t="s">
        <v>286</v>
      </c>
      <c r="B61" s="0" t="n">
        <f aca="false">B58</f>
        <v>-21132.6666666667</v>
      </c>
      <c r="C61" s="0" t="n">
        <f aca="false">B61+C58</f>
        <v>-49668.0002666667</v>
      </c>
      <c r="D61" s="0" t="n">
        <f aca="false">C61+D58</f>
        <v>-84133.1096666667</v>
      </c>
      <c r="E61" s="0" t="n">
        <f aca="false">D61+E58</f>
        <v>-130818.209816667</v>
      </c>
      <c r="F61" s="0" t="n">
        <f aca="false">E61+F58</f>
        <v>-215827.931454167</v>
      </c>
      <c r="G61" s="0" t="n">
        <f aca="false">F61+G58</f>
        <v>-303476.566613542</v>
      </c>
    </row>
    <row r="62" customFormat="false" ht="15" hidden="false" customHeight="false" outlineLevel="0" collapsed="false">
      <c r="A62" s="0" t="s">
        <v>287</v>
      </c>
      <c r="B62" s="0" t="n">
        <f aca="false">B60</f>
        <v>-21132.6666666667</v>
      </c>
      <c r="C62" s="0" t="n">
        <f aca="false">B62+C60</f>
        <v>-43960.9335466667</v>
      </c>
      <c r="D62" s="0" t="n">
        <f aca="false">C62+D60</f>
        <v>-66018.6035626667</v>
      </c>
      <c r="E62" s="0" t="n">
        <f aca="false">D62+E60</f>
        <v>-89921.3748394667</v>
      </c>
      <c r="F62" s="0" t="n">
        <f aca="false">E62+F60</f>
        <v>-124741.356822187</v>
      </c>
      <c r="G62" s="0" t="n">
        <f aca="false">F62+G60</f>
        <v>-153462.061591211</v>
      </c>
    </row>
    <row r="63" customFormat="false" ht="15" hidden="false" customHeight="false" outlineLevel="0" collapsed="false">
      <c r="A63" s="0" t="s">
        <v>288</v>
      </c>
      <c r="C63" s="0" t="str">
        <f aca="false">IF(AND(B61&lt;0,C61&gt;=0),C$3-1+(-B61)/C58,"")</f>
        <v/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str">
        <f aca="false">IF(AND(E61&lt;0,F61&gt;=0),F$3-1+(-E61)/F58,"")</f>
        <v/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289</v>
      </c>
      <c r="C64" s="0" t="str">
        <f aca="false">IF(AND(B62&lt;0,C62&gt;=0),C$3-1+(-B62)/C60,"")</f>
        <v/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str">
        <f aca="false">IF(AND(F62&lt;0,G62&gt;=0),G$3-1+(-F62)/G60,"")</f>
        <v/>
      </c>
    </row>
    <row r="66" customFormat="false" ht="15" hidden="false" customHeight="false" outlineLevel="0" collapsed="false">
      <c r="A66" s="1" t="s">
        <v>290</v>
      </c>
    </row>
    <row r="67" customFormat="false" ht="15" hidden="false" customHeight="false" outlineLevel="0" collapsed="false">
      <c r="A67" s="0" t="s">
        <v>225</v>
      </c>
      <c r="B67" s="0" t="n">
        <f aca="false">SUM(B60:G60)</f>
        <v>-153462.061591211</v>
      </c>
    </row>
    <row r="68" customFormat="false" ht="15" hidden="false" customHeight="false" outlineLevel="0" collapsed="false">
      <c r="A68" s="0" t="s">
        <v>226</v>
      </c>
      <c r="B68" s="2" t="str">
        <f aca="false">IFERROR(IRR(B58:G58),"no definida")</f>
        <v>no definida</v>
      </c>
    </row>
    <row r="69" customFormat="false" ht="15" hidden="false" customHeight="false" outlineLevel="0" collapsed="false">
      <c r="A69" s="0" t="s">
        <v>227</v>
      </c>
      <c r="B69" s="0" t="str">
        <f aca="false">IF(COUNT(C63:G63)=0,"no se recupera",MIN(C63:G63))</f>
        <v>no se recupera</v>
      </c>
    </row>
    <row r="70" customFormat="false" ht="15" hidden="false" customHeight="false" outlineLevel="0" collapsed="false">
      <c r="A70" s="0" t="s">
        <v>228</v>
      </c>
      <c r="B70" s="0" t="str">
        <f aca="false">IF(COUNT(C64:G64)=0,"no se recupera",MIN(C64:G64))</f>
        <v>no se recupera</v>
      </c>
    </row>
    <row r="71" customFormat="false" ht="15" hidden="false" customHeight="false" outlineLevel="0" collapsed="false">
      <c r="A71" s="0" t="s">
        <v>230</v>
      </c>
      <c r="B71" s="0" t="n">
        <f aca="false">IFERROR(G45/G36,"no definido")</f>
        <v>5600</v>
      </c>
    </row>
    <row r="72" customFormat="false" ht="15" hidden="false" customHeight="false" outlineLevel="0" collapsed="false">
      <c r="A72" s="0" t="s">
        <v>229</v>
      </c>
      <c r="B72" s="0" t="n">
        <f aca="false">IFERROR(ROUNDUP(G55/B71,0),"no definido")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2026-09-28T23:39:48Z</dcterms:created>
  <dc:creator>openpyxl</dc:creator>
  <dc:description/>
  <dc:language>es-ES</dc:language>
  <cp:lastModifiedBy/>
  <dcterms:modified xsi:type="dcterms:W3CDTF">2026-09-28T23:39:48Z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