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Supuestos!$D$28</definedName>
    <definedName function="false" hidden="false" name="alicuota_ganancias" vbProcedure="false">Supuestos!$D$33</definedName>
    <definedName function="false" hidden="false" name="analisis_por_ua_mes" vbProcedure="false">Supuestos!$E$79:$G$79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Supuestos!$E$99:$G$99</definedName>
    <definedName function="false" hidden="false" name="busquedas" vbProcedure="false">Supuestos!$E$72:$G$72</definedName>
    <definedName function="false" hidden="false" name="capt_agencias" vbProcedure="false">Supuestos!$E$105:$G$105</definedName>
    <definedName function="false" hidden="false" name="capt_medios_chicos" vbProcedure="false">Supuestos!$E$101:$G$101</definedName>
    <definedName function="false" hidden="false" name="capt_medios_grandes" vbProcedure="false">Supuestos!$E$100:$G$100</definedName>
    <definedName function="false" hidden="false" name="capt_organismos" vbProcedure="false">Supuestos!$E$104:$G$104</definedName>
    <definedName function="false" hidden="false" name="capt_universidades" vbProcedure="false">Supuestos!$E$103:$G$103</definedName>
    <definedName function="false" hidden="false" name="capt_verificadores" vbProcedure="false">Supuestos!$E$102:$G$102</definedName>
    <definedName function="false" hidden="false" name="cargas_sociales" vbProcedure="false">Supuestos!$D$29</definedName>
    <definedName function="false" hidden="false" name="churn_agencias" vbProcedure="false">Supuestos!$E$110:$G$110</definedName>
    <definedName function="false" hidden="false" name="churn_medios_chicos" vbProcedure="false">Supuestos!$E$107:$G$107</definedName>
    <definedName function="false" hidden="false" name="churn_medios_grandes" vbProcedure="false">Supuestos!$E$106:$G$106</definedName>
    <definedName function="false" hidden="false" name="churn_universidades" vbProcedure="false">Supuestos!$E$109:$G$109</definedName>
    <definedName function="false" hidden="false" name="churn_verificadores" vbProcedure="false">Supuestos!$E$108:$G$108</definedName>
    <definedName function="false" hidden="false" name="consultas_ent_mes" vbProcedure="false">Supuestos!$E$83:$G$83</definedName>
    <definedName function="false" hidden="false" name="consultas_pro_mes" vbProcedure="false">Supuestos!$E$82:$G$82</definedName>
    <definedName function="false" hidden="false" name="costo_analisis" vbProcedure="false">Supuestos!$E$73:$G$73</definedName>
    <definedName function="false" hidden="false" name="crecimiento_perpetuo" vbProcedure="false">Supuestos!$D$21</definedName>
    <definedName function="false" hidden="false" name="crp_argentina" vbProcedure="false">Supuestos!$D$19</definedName>
    <definedName function="false" hidden="false" name="dominio_anual" vbProcedure="false">Supuestos!$D$50</definedName>
    <definedName function="false" hidden="false" name="erp_maduro" vbProcedure="false">Supuestos!$D$18</definedName>
    <definedName function="false" hidden="false" name="horas_anio" vbProcedure="false">Supuestos!$D$53</definedName>
    <definedName function="false" hidden="false" name="horizonte" vbProcedure="false">Supuestos!$D$5</definedName>
    <definedName function="false" hidden="false" name="hosting_cpu" vbProcedure="false">Supuestos!$D$51</definedName>
    <definedName function="false" hidden="false" name="hosting_gpu" vbProcedure="false">Supuestos!$D$52</definedName>
    <definedName function="false" hidden="false" name="hosting_gpu_activo" vbProcedure="false">Supuestos!$E$54:$G$58</definedName>
    <definedName function="false" hidden="false" name="infra_base" vbProcedure="false">Supuestos!$D$47</definedName>
    <definedName function="false" hidden="false" name="infra_escalado" vbProcedure="false">Supuestos!$D$48</definedName>
    <definedName function="false" hidden="false" name="infra_hf_pro" vbProcedure="false">Supuestos!$D$46</definedName>
    <definedName function="false" hidden="false" name="infra_railway" vbProcedure="false">Supuestos!$D$44</definedName>
    <definedName function="false" hidden="false" name="infra_vercel" vbProcedure="false">Supuestos!$D$45</definedName>
    <definedName function="false" hidden="false" name="inv_chrome_web_store" vbProcedure="false">Supuestos!$D$39</definedName>
    <definedName function="false" hidden="false" name="inv_dominio" vbProcedure="false">Supuestos!$D$38</definedName>
    <definedName function="false" hidden="false" name="inv_infraestructura_0" vbProcedure="false">Supuestos!$D$37</definedName>
    <definedName function="false" hidden="false" name="inv_legal" vbProcedure="false">Supuestos!$D$41</definedName>
    <definedName function="false" hidden="false" name="inv_marca_inpi" vbProcedure="false">Supuestos!$D$40</definedName>
    <definedName function="false" hidden="false" name="marketing" vbProcedure="false">Supuestos!$E$59:$G$63</definedName>
    <definedName function="false" hidden="false" name="meses_anio" vbProcedure="false">Supuestos!$D$7</definedName>
    <definedName function="false" hidden="false" name="meses_anio_0" vbProcedure="false">Supuestos!$D$30</definedName>
    <definedName function="false" hidden="false" name="meses_cobro" vbProcedure="false">Supuestos!$D$34</definedName>
    <definedName function="false" hidden="false" name="precio_agencias" vbProcedure="false">Supuestos!$E$98:$G$98</definedName>
    <definedName function="false" hidden="false" name="precio_busqueda" vbProcedure="false">Supuestos!$D$68</definedName>
    <definedName function="false" hidden="false" name="precio_entrada" vbProcedure="false">Supuestos!$D$66</definedName>
    <definedName function="false" hidden="false" name="precio_medios_chicos" vbProcedure="false">Supuestos!$D$94</definedName>
    <definedName function="false" hidden="false" name="precio_medios_grandes" vbProcedure="false">Supuestos!$E$93:$G$93</definedName>
    <definedName function="false" hidden="false" name="precio_organismos" vbProcedure="false">Supuestos!$E$97:$G$97</definedName>
    <definedName function="false" hidden="false" name="precio_salida" vbProcedure="false">Supuestos!$D$67</definedName>
    <definedName function="false" hidden="false" name="precio_universidades" vbProcedure="false">Supuestos!$D$96</definedName>
    <definedName function="false" hidden="false" name="precio_verificadores" vbProcedure="false">Supuestos!$D$95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ens_captacion" vbProcedure="false">Supuestos!$D$115</definedName>
    <definedName function="false" hidden="false" name="sens_costo_analisis" vbProcedure="false">Supuestos!$D$113</definedName>
    <definedName function="false" hidden="false" name="sens_precios" vbProcedure="false">Supuestos!$D$114</definedName>
    <definedName function="false" hidden="false" name="sueldos_por_anio" vbProcedure="false">Supuestos!$D$27</definedName>
    <definedName function="false" hidden="false" name="sueldo_ars" vbProcedure="false">Supuestos!$D$24</definedName>
    <definedName function="false" hidden="false" name="sueldo_usd" vbProcedure="false">Supuestos!$D$26</definedName>
    <definedName function="false" hidden="false" name="tasa_capm" vbProcedure="false">Supuestos!$D$20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Supuestos!$E$81:$G$81</definedName>
    <definedName function="false" hidden="false" name="tc_encuesta" vbProcedure="false">Supuestos!$D$25</definedName>
    <definedName function="false" hidden="false" name="tokens_entrada" vbProcedure="false">Supuestos!$E$70:$G$70</definedName>
    <definedName function="false" hidden="false" name="tokens_por_millon" vbProcedure="false">Supuestos!$D$69</definedName>
    <definedName function="false" hidden="false" name="tokens_salida" vbProcedure="false">Supuestos!$E$71:$G$71</definedName>
    <definedName function="false" hidden="false" name="tope_mensual" vbProcedure="false">Supuestos!$D$80</definedName>
    <definedName function="false" hidden="false" name="ua_escalado" vbProcedure="false">Supuestos!$D$49</definedName>
    <definedName function="false" hidden="false" name="usuarios_activos" vbProcedure="false">Supuestos!$E$74:$G$78</definedName>
    <definedName function="false" hidden="false" name="u_agencias" vbProcedure="false">Supuestos!$D$92</definedName>
    <definedName function="false" hidden="false" name="u_medios_chicos" vbProcedure="false">Supuestos!$D$88</definedName>
    <definedName function="false" hidden="false" name="u_medios_grandes" vbProcedure="false">Supuestos!$D$87</definedName>
    <definedName function="false" hidden="false" name="u_medios_total" vbProcedure="false">Supuestos!$D$86</definedName>
    <definedName function="false" hidden="false" name="u_organismos" vbProcedure="false">Supuestos!$D$91</definedName>
    <definedName function="false" hidden="false" name="u_universidades" vbProcedure="false">Supuestos!$D$90</definedName>
    <definedName function="false" hidden="false" name="u_verificadores" vbProcedure="false">Supuestos!$D$89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<sst xmlns="http://schemas.openxmlformats.org/spreadsheetml/2006/main" count="631" uniqueCount="338">
  <si>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</si>
  <si>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</si>
  <si>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</si>
  <si>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</si>
  <si>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</si>
  <si>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</si>
  <si>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</si>
  <si>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</si>
  <si>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</si>
  <si>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</si>
  <si>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</si>
  <si>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</si>
  <si>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</si>
  <si>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</si>
  <si>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</si>
  <si>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</si>
  <si>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</si>
  <si>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</si>
  <si>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</si>
  <si>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</si>
  <si>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</si>
  <si>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</si>
  <si>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</si>
  <si>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</si>
  <si>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</si>
  <si>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</si>
  <si>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</si>
  <si>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</si>
  <si>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</si>
  <si>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</si>
  <si>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</si>
  <si>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</si>
  <si>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</si>
  <si>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</si>
  <si>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</si>
  <si>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</si>
  <si>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</si>
  <si>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</si>
  <si>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</si>
  <si>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</si>
  <si>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</si>
  <si>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</si>
  <si>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</si>
  <si>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</si>
  <si>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erp_maduro</t>
  </si>
  <si>
    <t xml:space="preserve">Prima de riesgo de un mercado maduro (contraste CAPM)</t>
  </si>
  <si>
    <t xml:space="preserve">Damodaran2026</t>
  </si>
  <si>
    <t xml:space="preserve">crp_argentina</t>
  </si>
  <si>
    <t xml:space="preserve">Prima de riesgo país de Argentina (contraste CAPM)</t>
  </si>
  <si>
    <t xml:space="preserve">tasa_capm</t>
  </si>
  <si>
    <t xml:space="preserve">Tasa CAPM de contraste, con beta igual a 1</t>
  </si>
  <si>
    <t xml:space="preserve">Cálculo</t>
  </si>
  <si>
    <t xml:space="preserve">crecimiento_perpetuo</t>
  </si>
  <si>
    <t xml:space="preserve">Crecimiento a perpetuidad para el valor residual</t>
  </si>
  <si>
    <t xml:space="preserve">Supuesto propio, no mayor al crecimiento de largo plazo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</si>
  <si>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</si>
  <si>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</si>
  <si>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</si>
  <si>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</si>
  <si>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</si>
  <si>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</si>
  <si>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</si>
  <si>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</si>
  <si>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</si>
  <si>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</si>
  <si>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</si>
  <si>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</si>
  <si>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</si>
  <si>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</si>
  <si>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</si>
  <si>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</si>
  <si>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cargas_sociales</t>
  </si>
  <si>
    <t xml:space="preserve">Cargas sociales del empleador (18 % + obra social 6 % + ART 2 %)</t>
  </si>
  <si>
    <t xml:space="preserve">CongresoNacion2019; ART estimada [sin verificar]</t>
  </si>
  <si>
    <t xml:space="preserve">meses_anio_0</t>
  </si>
  <si>
    <t xml:space="preserve">Meses de desarrollo del trabajo en el año 0 (no se imputan al flujo)</t>
  </si>
  <si>
    <t xml:space="preserve">Cronograma del PFI</t>
  </si>
  <si>
    <t xml:space="preserve">Impuestos y capital de trabajo</t>
  </si>
  <si>
    <t xml:space="preserve">alicuota_ganancias</t>
  </si>
  <si>
    <t xml:space="preserve">Impuesto a las ganancias, con quebrantos trasladables</t>
  </si>
  <si>
    <t xml:space="preserve">Simplificación indicada por la cátedra</t>
  </si>
  <si>
    <t xml:space="preserve">meses_cobro</t>
  </si>
  <si>
    <t xml:space="preserve">Plazo de cobro de los clientes B2B y B2G</t>
  </si>
  <si>
    <t xml:space="preserve">Inversión del año 0 (además del desarrollo)</t>
  </si>
  <si>
    <t xml:space="preserve">inv_infraestructura_0</t>
  </si>
  <si>
    <t xml:space="preserve">Infraestructura durante el PFI (14 USD/mes × 12)</t>
  </si>
  <si>
    <t xml:space="preserve">USD</t>
  </si>
  <si>
    <t xml:space="preserve">wiki/proyecto/recursos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</si>
  <si>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</si>
  <si>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</si>
  <si>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</si>
  <si>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</si>
  <si>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</si>
  <si>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GoogleRegistro2026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</si>
  <si>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</si>
  <si>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</si>
  <si>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</si>
  <si>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</si>
  <si>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</si>
  <si>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</si>
  <si>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</si>
  <si>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infra_railway</t>
  </si>
  <si>
    <t xml:space="preserve">Railway Pro</t>
  </si>
  <si>
    <t xml:space="preserve">Railway2026</t>
  </si>
  <si>
    <t xml:space="preserve">infra_vercel</t>
  </si>
  <si>
    <t xml:space="preserve">Vercel Pro</t>
  </si>
  <si>
    <t xml:space="preserve">Vercel2026</t>
  </si>
  <si>
    <t xml:space="preserve">infra_hf_pro</t>
  </si>
  <si>
    <t xml:space="preserve">Hugging Face PRO</t>
  </si>
  <si>
    <t xml:space="preserve">HuggingFace2026</t>
  </si>
  <si>
    <t xml:space="preserve">infra_base</t>
  </si>
  <si>
    <t xml:space="preserve">Base comercial</t>
  </si>
  <si>
    <t xml:space="preserve">Suma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</si>
  <si>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</si>
  <si>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</si>
  <si>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</si>
  <si>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</si>
  <si>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</si>
  <si>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</si>
  <si>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</si>
  <si>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</si>
  <si>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hosting_cpu</t>
  </si>
  <si>
    <t xml:space="preserve">Endpoint de inferencia CPU</t>
  </si>
  <si>
    <t xml:space="preserve">USD/h</t>
  </si>
  <si>
    <t xml:space="preserve">hosting_gpu</t>
  </si>
  <si>
    <t xml:space="preserve">Endpoint de inferencia GPU T4</t>
  </si>
  <si>
    <t xml:space="preserve">horas_anio</t>
  </si>
  <si>
    <t xml:space="preserve">Horas por año</t>
  </si>
  <si>
    <t xml:space="preserve">h</t>
  </si>
  <si>
    <t xml:space="preserve">hosting_gpu_activo</t>
  </si>
  <si>
    <t xml:space="preserve">Año 1: endpoint GPU (1) o CPU (0)</t>
  </si>
  <si>
    <t xml:space="preserve">Año 2: endpoint GPU (1) o CPU (0)</t>
  </si>
  <si>
    <t xml:space="preserve">Año 3: endpoint GPU (1) o CPU (0)</t>
  </si>
  <si>
    <t xml:space="preserve">Año 4: endpoint GPU (1) o CPU (0)</t>
  </si>
  <si>
    <t xml:space="preserve">Año 5: endpoint GPU (1) o CPU (0)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</si>
  <si>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</si>
  <si>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</si>
  <si>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</si>
  <si>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</si>
  <si>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</si>
  <si>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</si>
  <si>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</si>
  <si>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</si>
  <si>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</si>
  <si>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</si>
  <si>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</si>
  <si>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</si>
  <si>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</si>
  <si>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</si>
  <si>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</si>
  <si>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</si>
  <si>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</si>
  <si>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</si>
  <si>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</si>
  <si>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</si>
  <si>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</si>
  <si>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</si>
  <si>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</si>
  <si>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</si>
  <si>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</si>
  <si>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</si>
  <si>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</si>
  <si>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</si>
  <si>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</si>
  <si>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</si>
  <si>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</si>
  <si>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</si>
  <si>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</si>
  <si>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</si>
  <si>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</si>
  <si>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</si>
  <si>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</si>
  <si>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</si>
  <si>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tope_mensual</t>
  </si>
  <si>
    <t xml:space="preserve">Tope de análisis gratuitos por usuario por mes</t>
  </si>
  <si>
    <t xml:space="preserve">Decisión de producto</t>
  </si>
  <si>
    <t xml:space="preserve">tasa_reuso</t>
  </si>
  <si>
    <t xml:space="preserve">Análisis servidos desde la caché (los tuits virales concentran la demanda)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</si>
  <si>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</si>
  <si>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</si>
  <si>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</si>
  <si>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</si>
  <si>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</si>
  <si>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</si>
  <si>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u_medios_total</t>
  </si>
  <si>
    <t xml:space="preserve">Universo: socios activos de ADEPA, con y sin sitio web</t>
  </si>
  <si>
    <t xml:space="preserve">organizaciones</t>
  </si>
  <si>
    <t xml:space="preserve">ADEPA2026</t>
  </si>
  <si>
    <t xml:space="preserve">u_medios_grandes</t>
  </si>
  <si>
    <t xml:space="preserve">Universo: medios de gran porte</t>
  </si>
  <si>
    <t xml:space="preserve">ADEPA2026 (corte propio)</t>
  </si>
  <si>
    <t xml:space="preserve">u_medios_chicos</t>
  </si>
  <si>
    <t xml:space="preserve">Universo: resto de medios de ADEPA con sitio web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</si>
  <si>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</si>
  <si>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</si>
  <si>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</si>
  <si>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</si>
  <si>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</si>
  <si>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</si>
  <si>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</si>
  <si>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</si>
  <si>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</si>
  <si>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</si>
  <si>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</si>
  <si>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</si>
  <si>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</si>
  <si>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</si>
  <si>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</si>
  <si>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</si>
  <si>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</si>
  <si>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</si>
  <si>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</si>
  <si>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</si>
  <si>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</si>
  <si>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</si>
  <si>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</si>
  <si>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</si>
  <si>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</si>
  <si>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</si>
  <si>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</si>
  <si>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</si>
  <si>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</si>
  <si>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</si>
  <si>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</si>
  <si>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</si>
  <si>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</si>
  <si>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</si>
  <si>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</si>
  <si>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</si>
  <si>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</si>
  <si>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</si>
  <si>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</si>
  <si>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</si>
  <si>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</si>
  <si>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</si>
  <si>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</si>
  <si>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</si>
  <si>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</si>
  <si>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</si>
  <si>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</si>
  <si>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</si>
  <si>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</si>
  <si>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</si>
  <si>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Sensibilidad (1 = caso base; los cambia scripts/sensibilidad_modelo_financiero.py)</t>
  </si>
  <si>
    <t xml:space="preserve">sens_costo_analisis</t>
  </si>
  <si>
    <t xml:space="preserve">Multiplicador del costo por análisis</t>
  </si>
  <si>
    <t xml:space="preserve">veces</t>
  </si>
  <si>
    <t xml:space="preserve">sens_precios</t>
  </si>
  <si>
    <t xml:space="preserve">Multiplicador de los precios B2B</t>
  </si>
  <si>
    <t xml:space="preserve">sens_captacion</t>
  </si>
  <si>
    <t xml:space="preserve">Multiplicador de las tasas de captación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</si>
  <si>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</si>
  <si>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</si>
  <si>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</si>
  <si>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</si>
  <si>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</si>
  <si>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</si>
  <si>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</si>
  <si>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</si>
  <si>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</si>
  <si>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</si>
  <si>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VAN con valor residual (USD)</t>
  </si>
  <si>
    <t xml:space="preserve">Mercado, a precios del escenario neutral (USD por año)</t>
  </si>
  <si>
    <t xml:space="preserve">TAM: todo el universo de organizaciones contrata</t>
  </si>
  <si>
    <t xml:space="preserve">SAM: organizaciones que el producto y el canal atienden</t>
  </si>
  <si>
    <t xml:space="preserve">SOM: ingresos del año 5, escenario neutral</t>
  </si>
  <si>
    <t xml:space="preserve">Contraste para la defensa</t>
  </si>
  <si>
    <t xml:space="preserve">Valor de mercado de las horas de desarrollo del año 0, no imputado (USD)</t>
  </si>
  <si>
    <t xml:space="preserve">Tasa CAPM de contraste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</si>
  <si>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</si>
  <si>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</si>
  <si>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</si>
  <si>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</si>
  <si>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</si>
  <si>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</si>
  <si>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</si>
  <si>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</si>
  <si>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</si>
  <si>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</si>
  <si>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</si>
  <si>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</si>
  <si>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</si>
  <si>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</si>
  <si>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</si>
  <si>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</si>
  <si>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</si>
  <si>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</si>
  <si>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</si>
  <si>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</si>
  <si>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</si>
  <si>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</si>
  <si>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</si>
  <si>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</si>
  <si>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</si>
  <si>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</si>
  <si>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</si>
  <si>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</si>
  <si>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</si>
  <si>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</si>
  <si>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</si>
  <si>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</si>
  <si>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</si>
  <si>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</si>
  <si>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</si>
  <si>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</si>
  <si>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</si>
  <si>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</si>
  <si>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</si>
  <si>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</si>
  <si>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</si>
  <si>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</si>
  <si>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</si>
  <si>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senior, con cargas sociales)</t>
  </si>
  <si>
    <t xml:space="preserve">Costo: infraestructura</t>
  </si>
  <si>
    <t xml:space="preserve">Costo: hosting del modelo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</si>
  <si>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</si>
  <si>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</si>
  <si>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</si>
  <si>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</si>
  <si>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</si>
  <si>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Impuesto y capital de trabajo</t>
  </si>
  <si>
    <t xml:space="preserve">Resultado antes de impuestos</t>
  </si>
  <si>
    <t xml:space="preserve">Quebranto acumulado</t>
  </si>
  <si>
    <t xml:space="preserve">Impuesto a las ganancias</t>
  </si>
  <si>
    <t xml:space="preserve">Capital de trabajo</t>
  </si>
  <si>
    <t xml:space="preserve">Capital de trabajo: variación</t>
  </si>
  <si>
    <t xml:space="preserve">Recupero del capital de trabajo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</si>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</sst>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8" customFormat="false" ht="15" hidden="false" customHeight="false" outlineLevel="0" collapsed="false">
      <c r="A18" s="0" t="s">
        <v>44</v>
      </c>
      <c r="B18" s="0" t="s">
        <v>45</v>
      </c>
      <c r="C18" s="0" t="s">
        <v>33</v>
      </c>
      <c r="D18" s="0" t="n">
        <v>0.0423</v>
      </c>
      <c r="H18" s="0" t="s">
        <v>46</v>
      </c>
    </row>
    <row r="19" customFormat="false" ht="15" hidden="false" customHeight="false" outlineLevel="0" collapsed="false">
      <c r="A19" s="0" t="s">
        <v>47</v>
      </c>
      <c r="B19" s="0" t="s">
        <v>48</v>
      </c>
      <c r="C19" s="0" t="s">
        <v>33</v>
      </c>
      <c r="D19" s="0" t="n">
        <v>0.0971</v>
      </c>
      <c r="H19" s="0" t="s">
        <v>46</v>
      </c>
    </row>
    <row r="20" customFormat="false" ht="15" hidden="false" customHeight="false" outlineLevel="0" collapsed="false">
      <c r="A20" s="0" t="s">
        <v>49</v>
      </c>
      <c r="B20" s="0" t="s">
        <v>50</v>
      </c>
      <c r="C20" s="0" t="s">
        <v>33</v>
      </c>
      <c r="D20" s="0" t="n">
        <f aca="false">tasa_libre_riesgo+erp_maduro+crp_argentina</f>
        <v>0.1911</v>
      </c>
      <c r="H20" s="0" t="s">
        <v>51</v>
      </c>
    </row>
    <row r="21" customFormat="false" ht="15" hidden="false" customHeight="false" outlineLevel="0" collapsed="false">
      <c r="A21" s="0" t="s">
        <v>52</v>
      </c>
      <c r="B21" s="0" t="s">
        <v>53</v>
      </c>
      <c r="C21" s="0" t="s">
        <v>33</v>
      </c>
      <c r="D21" s="0" t="n">
        <v>0.02</v>
      </c>
      <c r="H21" s="0" t="s">
        <v>54</v>
      </c>
    </row>
    <row r="23" customFormat="false" ht="15" hidden="false" customHeight="false" outlineLevel="0" collapsed="false">
      <c r="A23" s="1" t="s">
        <v>55</v>
      </c>
    </row>
    <row r="24" customFormat="false" ht="15" hidden="false" customHeight="false" outlineLevel="0" collapsed="false">
      <c r="A24" s="0" t="s">
        <v>56</v>
      </c>
      <c r="B24" s="0" t="s">
        <v>57</v>
      </c>
      <c r="C24" s="0" t="s">
        <v>58</v>
      </c>
      <c r="D24" s="0" t="n">
        <v>2501629</v>
      </c>
      <c r="H24" s="0" t="s">
        <v>59</v>
      </c>
    </row>
    <row r="25" customFormat="false" ht="15" hidden="false" customHeight="false" outlineLevel="0" collapsed="false">
      <c r="A25" s="0" t="s">
        <v>60</v>
      </c>
      <c r="B25" s="0" t="s">
        <v>61</v>
      </c>
      <c r="C25" s="0" t="s">
        <v>62</v>
      </c>
      <c r="D25" s="0" t="n">
        <v>1397.88</v>
      </c>
      <c r="H25" s="0" t="s">
        <v>59</v>
      </c>
    </row>
    <row r="26" customFormat="false" ht="15" hidden="false" customHeight="false" outlineLevel="0" collapsed="false">
      <c r="A26" s="0" t="s">
        <v>63</v>
      </c>
      <c r="B26" s="0" t="s">
        <v>64</v>
      </c>
      <c r="C26" s="0" t="s">
        <v>65</v>
      </c>
      <c r="D26" s="0" t="n">
        <f aca="false">ROUND(sueldo_ars/tc_encuesta,0)</f>
        <v>1790</v>
      </c>
      <c r="H26" s="0" t="s">
        <v>51</v>
      </c>
    </row>
    <row r="27" customFormat="false" ht="15" hidden="false" customHeight="false" outlineLevel="0" collapsed="false">
      <c r="A27" s="0" t="s">
        <v>66</v>
      </c>
      <c r="B27" s="0" t="s">
        <v>67</v>
      </c>
      <c r="C27" s="0" t="s">
        <v>68</v>
      </c>
      <c r="D27" s="0" t="n">
        <v>13</v>
      </c>
      <c r="H27" s="0" t="s">
        <v>17</v>
      </c>
    </row>
    <row r="28" customFormat="false" ht="15" hidden="false" customHeight="false" outlineLevel="0" collapsed="false">
      <c r="A28" s="0" t="s">
        <v>69</v>
      </c>
      <c r="B28" s="0" t="s">
        <v>70</v>
      </c>
      <c r="C28" s="0" t="s">
        <v>33</v>
      </c>
      <c r="D28" s="0" t="n">
        <v>0.05</v>
      </c>
      <c r="H28" s="0" t="s">
        <v>17</v>
      </c>
    </row>
    <row r="29" customFormat="false" ht="15" hidden="false" customHeight="false" outlineLevel="0" collapsed="false">
      <c r="A29" s="0" t="s">
        <v>71</v>
      </c>
      <c r="B29" s="0" t="s">
        <v>72</v>
      </c>
      <c r="C29" s="0" t="s">
        <v>33</v>
      </c>
      <c r="D29" s="0" t="n">
        <v>0.26</v>
      </c>
      <c r="H29" s="0" t="s">
        <v>73</v>
      </c>
    </row>
    <row r="30" customFormat="false" ht="15" hidden="false" customHeight="false" outlineLevel="0" collapsed="false">
      <c r="A30" s="0" t="s">
        <v>74</v>
      </c>
      <c r="B30" s="0" t="s">
        <v>75</v>
      </c>
      <c r="C30" s="0" t="s">
        <v>20</v>
      </c>
      <c r="D30" s="0" t="n">
        <v>10</v>
      </c>
      <c r="H30" s="0" t="s">
        <v>76</v>
      </c>
    </row>
    <row r="32" customFormat="false" ht="15" hidden="false" customHeight="false" outlineLevel="0" collapsed="false">
      <c r="A32" s="1" t="s">
        <v>77</v>
      </c>
    </row>
    <row r="33" customFormat="false" ht="15" hidden="false" customHeight="false" outlineLevel="0" collapsed="false">
      <c r="A33" s="0" t="s">
        <v>78</v>
      </c>
      <c r="B33" s="0" t="s">
        <v>79</v>
      </c>
      <c r="C33" s="0" t="s">
        <v>33</v>
      </c>
      <c r="D33" s="0" t="n">
        <v>0.35</v>
      </c>
      <c r="H33" s="0" t="s">
        <v>80</v>
      </c>
    </row>
    <row r="34" customFormat="false" ht="15" hidden="false" customHeight="false" outlineLevel="0" collapsed="false">
      <c r="A34" s="0" t="s">
        <v>81</v>
      </c>
      <c r="B34" s="0" t="s">
        <v>82</v>
      </c>
      <c r="C34" s="0" t="s">
        <v>20</v>
      </c>
      <c r="D34" s="0" t="n">
        <v>2</v>
      </c>
      <c r="H34" s="0" t="s">
        <v>17</v>
      </c>
    </row>
    <row r="36" customFormat="false" ht="15" hidden="false" customHeight="false" outlineLevel="0" collapsed="false">
      <c r="A36" s="1" t="s">
        <v>83</v>
      </c>
    </row>
    <row r="37" customFormat="false" ht="15" hidden="false" customHeight="false" outlineLevel="0" collapsed="false">
      <c r="A37" s="0" t="s">
        <v>84</v>
      </c>
      <c r="B37" s="0" t="s">
        <v>85</v>
      </c>
      <c r="C37" s="0" t="s">
        <v>86</v>
      </c>
      <c r="D37" s="0" t="n">
        <v>168</v>
      </c>
      <c r="H37" s="0" t="s">
        <v>87</v>
      </c>
    </row>
    <row r="38" customFormat="false" ht="15" hidden="false" customHeight="false" outlineLevel="0" collapsed="false">
      <c r="A38" s="0" t="s">
        <v>88</v>
      </c>
      <c r="B38" s="0" t="s">
        <v>89</v>
      </c>
      <c r="C38" s="0" t="s">
        <v>86</v>
      </c>
      <c r="D38" s="0" t="n">
        <v>15</v>
      </c>
      <c r="H38" s="0" t="s">
        <v>90</v>
      </c>
    </row>
    <row r="39" customFormat="false" ht="15" hidden="false" customHeight="false" outlineLevel="0" collapsed="false">
      <c r="A39" s="0" t="s">
        <v>91</v>
      </c>
      <c r="B39" s="0" t="s">
        <v>92</v>
      </c>
      <c r="C39" s="0" t="s">
        <v>86</v>
      </c>
      <c r="D39" s="0" t="n">
        <v>5</v>
      </c>
      <c r="H39" s="0" t="s">
        <v>93</v>
      </c>
    </row>
    <row r="40" customFormat="false" ht="15" hidden="false" customHeight="false" outlineLevel="0" collapsed="false">
      <c r="A40" s="0" t="s">
        <v>94</v>
      </c>
      <c r="B40" s="0" t="s">
        <v>95</v>
      </c>
      <c r="C40" s="0" t="s">
        <v>86</v>
      </c>
      <c r="D40" s="0" t="n">
        <v>53</v>
      </c>
      <c r="H40" s="0" t="s">
        <v>96</v>
      </c>
    </row>
    <row r="41" customFormat="false" ht="15" hidden="false" customHeight="false" outlineLevel="0" collapsed="false">
      <c r="A41" s="0" t="s">
        <v>97</v>
      </c>
      <c r="B41" s="0" t="s">
        <v>98</v>
      </c>
      <c r="C41" s="0" t="s">
        <v>86</v>
      </c>
      <c r="D41" s="0" t="n">
        <v>1500</v>
      </c>
      <c r="H41" s="0" t="s">
        <v>99</v>
      </c>
    </row>
    <row r="43" customFormat="false" ht="15" hidden="false" customHeight="false" outlineLevel="0" collapsed="false">
      <c r="A43" s="1" t="s">
        <v>100</v>
      </c>
    </row>
    <row r="44" customFormat="false" ht="15" hidden="false" customHeight="false" outlineLevel="0" collapsed="false">
      <c r="A44" s="0" t="s">
        <v>101</v>
      </c>
      <c r="B44" s="0" t="s">
        <v>102</v>
      </c>
      <c r="C44" s="0" t="s">
        <v>65</v>
      </c>
      <c r="D44" s="0" t="n">
        <v>20</v>
      </c>
      <c r="H44" s="0" t="s">
        <v>103</v>
      </c>
    </row>
    <row r="45" customFormat="false" ht="15" hidden="false" customHeight="false" outlineLevel="0" collapsed="false">
      <c r="A45" s="0" t="s">
        <v>104</v>
      </c>
      <c r="B45" s="0" t="s">
        <v>105</v>
      </c>
      <c r="C45" s="0" t="s">
        <v>65</v>
      </c>
      <c r="D45" s="0" t="n">
        <v>20</v>
      </c>
      <c r="H45" s="0" t="s">
        <v>106</v>
      </c>
    </row>
    <row r="46" customFormat="false" ht="15" hidden="false" customHeight="false" outlineLevel="0" collapsed="false">
      <c r="A46" s="0" t="s">
        <v>107</v>
      </c>
      <c r="B46" s="0" t="s">
        <v>108</v>
      </c>
      <c r="C46" s="0" t="s">
        <v>65</v>
      </c>
      <c r="D46" s="0" t="n">
        <v>9</v>
      </c>
      <c r="H46" s="0" t="s">
        <v>109</v>
      </c>
    </row>
    <row r="47" customFormat="false" ht="15" hidden="false" customHeight="false" outlineLevel="0" collapsed="false">
      <c r="A47" s="0" t="s">
        <v>110</v>
      </c>
      <c r="B47" s="0" t="s">
        <v>111</v>
      </c>
      <c r="C47" s="0" t="s">
        <v>65</v>
      </c>
      <c r="D47" s="0" t="n">
        <f aca="false">infra_railway+infra_vercel+infra_hf_pro</f>
        <v>49</v>
      </c>
      <c r="H47" s="0" t="s">
        <v>112</v>
      </c>
    </row>
    <row r="48" customFormat="false" ht="15" hidden="false" customHeight="false" outlineLevel="0" collapsed="false">
      <c r="A48" s="0" t="s">
        <v>113</v>
      </c>
      <c r="B48" s="0" t="s">
        <v>114</v>
      </c>
      <c r="C48" s="0" t="s">
        <v>65</v>
      </c>
      <c r="D48" s="0" t="n">
        <v>10</v>
      </c>
      <c r="H48" s="0" t="s">
        <v>99</v>
      </c>
    </row>
    <row r="49" customFormat="false" ht="15" hidden="false" customHeight="false" outlineLevel="0" collapsed="false">
      <c r="A49" s="0" t="s">
        <v>115</v>
      </c>
      <c r="B49" s="0" t="s">
        <v>116</v>
      </c>
      <c r="C49" s="0" t="s">
        <v>117</v>
      </c>
      <c r="D49" s="0" t="n">
        <v>10000</v>
      </c>
      <c r="H49" s="0" t="s">
        <v>17</v>
      </c>
    </row>
    <row r="50" customFormat="false" ht="15" hidden="false" customHeight="false" outlineLevel="0" collapsed="false">
      <c r="A50" s="0" t="s">
        <v>118</v>
      </c>
      <c r="B50" s="0" t="s">
        <v>119</v>
      </c>
      <c r="C50" s="0" t="s">
        <v>120</v>
      </c>
      <c r="D50" s="0" t="n">
        <v>15</v>
      </c>
      <c r="H50" s="0" t="s">
        <v>90</v>
      </c>
    </row>
    <row r="51" customFormat="false" ht="15" hidden="false" customHeight="false" outlineLevel="0" collapsed="false">
      <c r="A51" s="0" t="s">
        <v>121</v>
      </c>
      <c r="B51" s="0" t="s">
        <v>122</v>
      </c>
      <c r="C51" s="0" t="s">
        <v>123</v>
      </c>
      <c r="D51" s="0" t="n">
        <v>0.03</v>
      </c>
      <c r="H51" s="0" t="s">
        <v>109</v>
      </c>
    </row>
    <row r="52" customFormat="false" ht="15" hidden="false" customHeight="false" outlineLevel="0" collapsed="false">
      <c r="A52" s="0" t="s">
        <v>124</v>
      </c>
      <c r="B52" s="0" t="s">
        <v>125</v>
      </c>
      <c r="C52" s="0" t="s">
        <v>123</v>
      </c>
      <c r="D52" s="0" t="n">
        <v>0.5</v>
      </c>
      <c r="H52" s="0" t="s">
        <v>109</v>
      </c>
    </row>
    <row r="53" customFormat="false" ht="15" hidden="false" customHeight="false" outlineLevel="0" collapsed="false">
      <c r="A53" s="0" t="s">
        <v>126</v>
      </c>
      <c r="B53" s="0" t="s">
        <v>127</v>
      </c>
      <c r="C53" s="0" t="s">
        <v>128</v>
      </c>
      <c r="D53" s="0" t="n">
        <v>8760</v>
      </c>
      <c r="H53" s="0" t="s">
        <v>21</v>
      </c>
    </row>
    <row r="54" customFormat="false" ht="15" hidden="false" customHeight="false" outlineLevel="0" collapsed="false">
      <c r="A54" s="0" t="s">
        <v>129</v>
      </c>
      <c r="B54" s="0" t="s">
        <v>130</v>
      </c>
      <c r="C54" s="0" t="s">
        <v>24</v>
      </c>
      <c r="E54" s="0" t="n">
        <v>0</v>
      </c>
      <c r="F54" s="0" t="n">
        <v>0</v>
      </c>
      <c r="G54" s="0" t="n">
        <v>0</v>
      </c>
      <c r="H54" s="0" t="s">
        <v>17</v>
      </c>
    </row>
    <row r="55" customFormat="false" ht="15" hidden="false" customHeight="false" outlineLevel="0" collapsed="false">
      <c r="B55" s="0" t="s">
        <v>131</v>
      </c>
      <c r="C55" s="0" t="s">
        <v>24</v>
      </c>
      <c r="E55" s="0" t="n">
        <v>1</v>
      </c>
      <c r="F55" s="0" t="n">
        <v>0</v>
      </c>
      <c r="G55" s="0" t="n">
        <v>0</v>
      </c>
      <c r="H55" s="0" t="s">
        <v>17</v>
      </c>
    </row>
    <row r="56" customFormat="false" ht="15" hidden="false" customHeight="false" outlineLevel="0" collapsed="false">
      <c r="B56" s="0" t="s">
        <v>132</v>
      </c>
      <c r="C56" s="0" t="s">
        <v>24</v>
      </c>
      <c r="E56" s="0" t="n">
        <v>1</v>
      </c>
      <c r="F56" s="0" t="n">
        <v>1</v>
      </c>
      <c r="G56" s="0" t="n">
        <v>0</v>
      </c>
      <c r="H56" s="0" t="s">
        <v>17</v>
      </c>
    </row>
    <row r="57" customFormat="false" ht="15" hidden="false" customHeight="false" outlineLevel="0" collapsed="false">
      <c r="B57" s="0" t="s">
        <v>133</v>
      </c>
      <c r="C57" s="0" t="s">
        <v>24</v>
      </c>
      <c r="E57" s="0" t="n">
        <v>1</v>
      </c>
      <c r="F57" s="0" t="n">
        <v>1</v>
      </c>
      <c r="G57" s="0" t="n">
        <v>0</v>
      </c>
      <c r="H57" s="0" t="s">
        <v>17</v>
      </c>
    </row>
    <row r="58" customFormat="false" ht="15" hidden="false" customHeight="false" outlineLevel="0" collapsed="false">
      <c r="B58" s="0" t="s">
        <v>134</v>
      </c>
      <c r="C58" s="0" t="s">
        <v>24</v>
      </c>
      <c r="E58" s="0" t="n">
        <v>1</v>
      </c>
      <c r="F58" s="0" t="n">
        <v>1</v>
      </c>
      <c r="G58" s="0" t="n">
        <v>0</v>
      </c>
      <c r="H58" s="0" t="s">
        <v>17</v>
      </c>
    </row>
    <row r="59" customFormat="false" ht="15" hidden="false" customHeight="false" outlineLevel="0" collapsed="false">
      <c r="A59" s="0" t="s">
        <v>135</v>
      </c>
      <c r="B59" s="0" t="s">
        <v>136</v>
      </c>
      <c r="C59" s="0" t="s">
        <v>120</v>
      </c>
      <c r="E59" s="0" t="n">
        <v>6000</v>
      </c>
      <c r="F59" s="0" t="n">
        <v>4000</v>
      </c>
      <c r="G59" s="0" t="n">
        <v>2000</v>
      </c>
      <c r="H59" s="0" t="s">
        <v>17</v>
      </c>
    </row>
    <row r="60" customFormat="false" ht="15" hidden="false" customHeight="false" outlineLevel="0" collapsed="false">
      <c r="B60" s="0" t="s">
        <v>137</v>
      </c>
      <c r="C60" s="0" t="s">
        <v>120</v>
      </c>
      <c r="E60" s="0" t="n">
        <v>9000</v>
      </c>
      <c r="F60" s="0" t="n">
        <v>6000</v>
      </c>
      <c r="G60" s="0" t="n">
        <v>3000</v>
      </c>
      <c r="H60" s="0" t="s">
        <v>17</v>
      </c>
    </row>
    <row r="61" customFormat="false" ht="15" hidden="false" customHeight="false" outlineLevel="0" collapsed="false">
      <c r="B61" s="0" t="s">
        <v>138</v>
      </c>
      <c r="C61" s="0" t="s">
        <v>120</v>
      </c>
      <c r="E61" s="0" t="n">
        <v>12000</v>
      </c>
      <c r="F61" s="0" t="n">
        <v>8000</v>
      </c>
      <c r="G61" s="0" t="n">
        <v>4000</v>
      </c>
      <c r="H61" s="0" t="s">
        <v>17</v>
      </c>
    </row>
    <row r="62" customFormat="false" ht="15" hidden="false" customHeight="false" outlineLevel="0" collapsed="false">
      <c r="B62" s="0" t="s">
        <v>139</v>
      </c>
      <c r="C62" s="0" t="s">
        <v>120</v>
      </c>
      <c r="E62" s="0" t="n">
        <v>15000</v>
      </c>
      <c r="F62" s="0" t="n">
        <v>10000</v>
      </c>
      <c r="G62" s="0" t="n">
        <v>5000</v>
      </c>
      <c r="H62" s="0" t="s">
        <v>17</v>
      </c>
    </row>
    <row r="63" customFormat="false" ht="15" hidden="false" customHeight="false" outlineLevel="0" collapsed="false">
      <c r="B63" s="0" t="s">
        <v>140</v>
      </c>
      <c r="C63" s="0" t="s">
        <v>120</v>
      </c>
      <c r="E63" s="0" t="n">
        <v>18000</v>
      </c>
      <c r="F63" s="0" t="n">
        <v>12000</v>
      </c>
      <c r="G63" s="0" t="n">
        <v>6000</v>
      </c>
      <c r="H63" s="0" t="s">
        <v>17</v>
      </c>
    </row>
    <row r="65" customFormat="false" ht="15" hidden="false" customHeight="false" outlineLevel="0" collapsed="false">
      <c r="A65" s="1" t="s">
        <v>141</v>
      </c>
    </row>
    <row r="66" customFormat="false" ht="15" hidden="false" customHeight="false" outlineLevel="0" collapsed="false">
      <c r="A66" s="0" t="s">
        <v>142</v>
      </c>
      <c r="B66" s="0" t="s">
        <v>143</v>
      </c>
      <c r="C66" s="0" t="s">
        <v>144</v>
      </c>
      <c r="D66" s="0" t="n">
        <v>0.2</v>
      </c>
      <c r="H66" s="0" t="s">
        <v>145</v>
      </c>
    </row>
    <row r="67" customFormat="false" ht="15" hidden="false" customHeight="false" outlineLevel="0" collapsed="false">
      <c r="A67" s="0" t="s">
        <v>146</v>
      </c>
      <c r="B67" s="0" t="s">
        <v>147</v>
      </c>
      <c r="C67" s="0" t="s">
        <v>144</v>
      </c>
      <c r="D67" s="0" t="n">
        <v>1.2</v>
      </c>
      <c r="H67" s="0" t="s">
        <v>145</v>
      </c>
    </row>
    <row r="68" customFormat="false" ht="15" hidden="false" customHeight="false" outlineLevel="0" collapsed="false">
      <c r="A68" s="0" t="s">
        <v>148</v>
      </c>
      <c r="B68" s="0" t="s">
        <v>149</v>
      </c>
      <c r="C68" s="0" t="s">
        <v>150</v>
      </c>
      <c r="D68" s="0" t="n">
        <v>0.01</v>
      </c>
      <c r="H68" s="0" t="s">
        <v>145</v>
      </c>
    </row>
    <row r="69" customFormat="false" ht="15" hidden="false" customHeight="false" outlineLevel="0" collapsed="false">
      <c r="A69" s="0" t="s">
        <v>151</v>
      </c>
      <c r="B69" s="0" t="s">
        <v>152</v>
      </c>
      <c r="C69" s="0" t="s">
        <v>153</v>
      </c>
      <c r="D69" s="0" t="n">
        <v>1000000</v>
      </c>
      <c r="H69" s="0" t="s">
        <v>21</v>
      </c>
    </row>
    <row r="70" customFormat="false" ht="15" hidden="false" customHeight="false" outlineLevel="0" collapsed="false">
      <c r="A70" s="0" t="s">
        <v>154</v>
      </c>
      <c r="B70" s="0" t="s">
        <v>155</v>
      </c>
      <c r="C70" s="0" t="s">
        <v>153</v>
      </c>
      <c r="E70" s="0" t="n">
        <v>6220</v>
      </c>
      <c r="F70" s="0" t="n">
        <v>11220</v>
      </c>
      <c r="G70" s="0" t="n">
        <v>18220</v>
      </c>
      <c r="H70" s="0" t="s">
        <v>156</v>
      </c>
    </row>
    <row r="71" customFormat="false" ht="15" hidden="false" customHeight="false" outlineLevel="0" collapsed="false">
      <c r="A71" s="0" t="s">
        <v>157</v>
      </c>
      <c r="B71" s="0" t="s">
        <v>158</v>
      </c>
      <c r="C71" s="0" t="s">
        <v>153</v>
      </c>
      <c r="E71" s="0" t="n">
        <v>1250</v>
      </c>
      <c r="F71" s="0" t="n">
        <v>2000</v>
      </c>
      <c r="G71" s="0" t="n">
        <v>3600</v>
      </c>
      <c r="H71" s="0" t="s">
        <v>156</v>
      </c>
    </row>
    <row r="72" customFormat="false" ht="15" hidden="false" customHeight="false" outlineLevel="0" collapsed="false">
      <c r="A72" s="0" t="s">
        <v>159</v>
      </c>
      <c r="B72" s="0" t="s">
        <v>160</v>
      </c>
      <c r="C72" s="0" t="s">
        <v>161</v>
      </c>
      <c r="E72" s="0" t="n">
        <v>1</v>
      </c>
      <c r="F72" s="0" t="n">
        <v>2</v>
      </c>
      <c r="G72" s="0" t="n">
        <v>3</v>
      </c>
      <c r="H72" s="0" t="s">
        <v>156</v>
      </c>
    </row>
    <row r="73" customFormat="false" ht="15" hidden="false" customHeight="false" outlineLevel="0" collapsed="false">
      <c r="A73" s="0" t="s">
        <v>162</v>
      </c>
      <c r="B73" s="0" t="s">
        <v>163</v>
      </c>
      <c r="C73" s="0" t="s">
        <v>86</v>
      </c>
      <c r="E73" s="0" t="n">
        <f aca="false">(E70*precio_entrada+E71*precio_salida)/tokens_por_millon+E72*precio_busqueda</f>
        <v>0.012744</v>
      </c>
      <c r="F73" s="0" t="n">
        <f aca="false">(F70*precio_entrada+F71*precio_salida)/tokens_por_millon+F72*precio_busqueda</f>
        <v>0.024644</v>
      </c>
      <c r="G73" s="0" t="n">
        <f aca="false">(G70*precio_entrada+G71*precio_salida)/tokens_por_millon+G72*precio_busqueda</f>
        <v>0.037964</v>
      </c>
      <c r="H73" s="0" t="s">
        <v>51</v>
      </c>
    </row>
    <row r="74" customFormat="false" ht="15" hidden="false" customHeight="false" outlineLevel="0" collapsed="false">
      <c r="A74" s="0" t="s">
        <v>164</v>
      </c>
      <c r="B74" s="0" t="s">
        <v>165</v>
      </c>
      <c r="C74" s="0" t="s">
        <v>117</v>
      </c>
      <c r="E74" s="0" t="n">
        <v>5000</v>
      </c>
      <c r="F74" s="0" t="n">
        <v>2000</v>
      </c>
      <c r="G74" s="0" t="n">
        <v>500</v>
      </c>
      <c r="H74" s="0" t="s">
        <v>17</v>
      </c>
    </row>
    <row r="75" customFormat="false" ht="15" hidden="false" customHeight="false" outlineLevel="0" collapsed="false">
      <c r="B75" s="0" t="s">
        <v>166</v>
      </c>
      <c r="C75" s="0" t="s">
        <v>117</v>
      </c>
      <c r="E75" s="0" t="n">
        <v>20000</v>
      </c>
      <c r="F75" s="0" t="n">
        <v>8000</v>
      </c>
      <c r="G75" s="0" t="n">
        <v>2000</v>
      </c>
      <c r="H75" s="0" t="s">
        <v>17</v>
      </c>
    </row>
    <row r="76" customFormat="false" ht="15" hidden="false" customHeight="false" outlineLevel="0" collapsed="false">
      <c r="B76" s="0" t="s">
        <v>167</v>
      </c>
      <c r="C76" s="0" t="s">
        <v>117</v>
      </c>
      <c r="E76" s="0" t="n">
        <v>50000</v>
      </c>
      <c r="F76" s="0" t="n">
        <v>20000</v>
      </c>
      <c r="G76" s="0" t="n">
        <v>5000</v>
      </c>
      <c r="H76" s="0" t="s">
        <v>17</v>
      </c>
    </row>
    <row r="77" customFormat="false" ht="15" hidden="false" customHeight="false" outlineLevel="0" collapsed="false">
      <c r="B77" s="0" t="s">
        <v>168</v>
      </c>
      <c r="C77" s="0" t="s">
        <v>117</v>
      </c>
      <c r="E77" s="0" t="n">
        <v>100000</v>
      </c>
      <c r="F77" s="0" t="n">
        <v>40000</v>
      </c>
      <c r="G77" s="0" t="n">
        <v>8000</v>
      </c>
      <c r="H77" s="0" t="s">
        <v>17</v>
      </c>
    </row>
    <row r="78" customFormat="false" ht="15" hidden="false" customHeight="false" outlineLevel="0" collapsed="false">
      <c r="B78" s="0" t="s">
        <v>169</v>
      </c>
      <c r="C78" s="0" t="s">
        <v>117</v>
      </c>
      <c r="E78" s="0" t="n">
        <v>150000</v>
      </c>
      <c r="F78" s="0" t="n">
        <v>60000</v>
      </c>
      <c r="G78" s="0" t="n">
        <v>10000</v>
      </c>
      <c r="H78" s="0" t="s">
        <v>17</v>
      </c>
    </row>
    <row r="79" customFormat="false" ht="15" hidden="false" customHeight="false" outlineLevel="0" collapsed="false">
      <c r="A79" s="0" t="s">
        <v>170</v>
      </c>
      <c r="B79" s="0" t="s">
        <v>171</v>
      </c>
      <c r="C79" s="0" t="s">
        <v>172</v>
      </c>
      <c r="E79" s="0" t="n">
        <v>20</v>
      </c>
      <c r="F79" s="0" t="n">
        <v>12</v>
      </c>
      <c r="G79" s="0" t="n">
        <v>6</v>
      </c>
      <c r="H79" s="0" t="s">
        <v>17</v>
      </c>
    </row>
    <row r="80" customFormat="false" ht="15" hidden="false" customHeight="false" outlineLevel="0" collapsed="false">
      <c r="A80" s="0" t="s">
        <v>173</v>
      </c>
      <c r="B80" s="0" t="s">
        <v>174</v>
      </c>
      <c r="C80" s="0" t="s">
        <v>172</v>
      </c>
      <c r="D80" s="0" t="n">
        <v>5</v>
      </c>
      <c r="H80" s="0" t="s">
        <v>175</v>
      </c>
    </row>
    <row r="81" customFormat="false" ht="15" hidden="false" customHeight="false" outlineLevel="0" collapsed="false">
      <c r="A81" s="0" t="s">
        <v>176</v>
      </c>
      <c r="B81" s="0" t="s">
        <v>177</v>
      </c>
      <c r="C81" s="0" t="s">
        <v>33</v>
      </c>
      <c r="E81" s="0" t="n">
        <v>0.4</v>
      </c>
      <c r="F81" s="0" t="n">
        <v>0.3</v>
      </c>
      <c r="G81" s="0" t="n">
        <v>0.2</v>
      </c>
      <c r="H81" s="0" t="s">
        <v>17</v>
      </c>
    </row>
    <row r="82" customFormat="false" ht="15" hidden="false" customHeight="false" outlineLevel="0" collapsed="false">
      <c r="A82" s="0" t="s">
        <v>178</v>
      </c>
      <c r="B82" s="0" t="s">
        <v>179</v>
      </c>
      <c r="C82" s="0" t="s">
        <v>180</v>
      </c>
      <c r="E82" s="0" t="n">
        <v>2000</v>
      </c>
      <c r="F82" s="0" t="n">
        <v>4000</v>
      </c>
      <c r="G82" s="0" t="n">
        <v>8000</v>
      </c>
      <c r="H82" s="0" t="s">
        <v>17</v>
      </c>
    </row>
    <row r="83" customFormat="false" ht="15" hidden="false" customHeight="false" outlineLevel="0" collapsed="false">
      <c r="A83" s="0" t="s">
        <v>181</v>
      </c>
      <c r="B83" s="0" t="s">
        <v>182</v>
      </c>
      <c r="C83" s="0" t="s">
        <v>180</v>
      </c>
      <c r="E83" s="0" t="n">
        <v>20000</v>
      </c>
      <c r="F83" s="0" t="n">
        <v>40000</v>
      </c>
      <c r="G83" s="0" t="n">
        <v>80000</v>
      </c>
      <c r="H83" s="0" t="s">
        <v>17</v>
      </c>
    </row>
    <row r="85" customFormat="false" ht="15" hidden="false" customHeight="false" outlineLevel="0" collapsed="false">
      <c r="A85" s="1" t="s">
        <v>183</v>
      </c>
    </row>
    <row r="86" customFormat="false" ht="15" hidden="false" customHeight="false" outlineLevel="0" collapsed="false">
      <c r="A86" s="0" t="s">
        <v>184</v>
      </c>
      <c r="B86" s="0" t="s">
        <v>185</v>
      </c>
      <c r="C86" s="0" t="s">
        <v>186</v>
      </c>
      <c r="D86" s="0" t="n">
        <v>130</v>
      </c>
      <c r="H86" s="0" t="s">
        <v>187</v>
      </c>
    </row>
    <row r="87" customFormat="false" ht="15" hidden="false" customHeight="false" outlineLevel="0" collapsed="false">
      <c r="A87" s="0" t="s">
        <v>188</v>
      </c>
      <c r="B87" s="0" t="s">
        <v>189</v>
      </c>
      <c r="C87" s="0" t="s">
        <v>186</v>
      </c>
      <c r="D87" s="0" t="n">
        <v>10</v>
      </c>
      <c r="H87" s="0" t="s">
        <v>190</v>
      </c>
    </row>
    <row r="88" customFormat="false" ht="15" hidden="false" customHeight="false" outlineLevel="0" collapsed="false">
      <c r="A88" s="0" t="s">
        <v>191</v>
      </c>
      <c r="B88" s="0" t="s">
        <v>192</v>
      </c>
      <c r="C88" s="0" t="s">
        <v>186</v>
      </c>
      <c r="D88" s="0" t="n">
        <v>93</v>
      </c>
      <c r="H88" s="0" t="s">
        <v>187</v>
      </c>
    </row>
    <row r="89" customFormat="false" ht="15" hidden="false" customHeight="false" outlineLevel="0" collapsed="false">
      <c r="A89" s="0" t="s">
        <v>193</v>
      </c>
      <c r="B89" s="0" t="s">
        <v>194</v>
      </c>
      <c r="C89" s="0" t="s">
        <v>186</v>
      </c>
      <c r="D89" s="0" t="n">
        <v>3</v>
      </c>
      <c r="H89" s="0" t="s">
        <v>195</v>
      </c>
    </row>
    <row r="90" customFormat="false" ht="15" hidden="false" customHeight="false" outlineLevel="0" collapsed="false">
      <c r="A90" s="0" t="s">
        <v>196</v>
      </c>
      <c r="B90" s="0" t="s">
        <v>197</v>
      </c>
      <c r="C90" s="0" t="s">
        <v>186</v>
      </c>
      <c r="D90" s="0" t="n">
        <v>149</v>
      </c>
      <c r="H90" s="0" t="s">
        <v>198</v>
      </c>
    </row>
    <row r="91" customFormat="false" ht="15" hidden="false" customHeight="false" outlineLevel="0" collapsed="false">
      <c r="A91" s="0" t="s">
        <v>199</v>
      </c>
      <c r="B91" s="0" t="s">
        <v>200</v>
      </c>
      <c r="C91" s="0" t="s">
        <v>186</v>
      </c>
      <c r="D91" s="0" t="n">
        <v>32</v>
      </c>
      <c r="H91" s="0" t="s">
        <v>201</v>
      </c>
    </row>
    <row r="92" customFormat="false" ht="15" hidden="false" customHeight="false" outlineLevel="0" collapsed="false">
      <c r="A92" s="0" t="s">
        <v>202</v>
      </c>
      <c r="B92" s="0" t="s">
        <v>203</v>
      </c>
      <c r="C92" s="0" t="s">
        <v>186</v>
      </c>
      <c r="D92" s="0" t="n">
        <v>120</v>
      </c>
      <c r="H92" s="0" t="s">
        <v>204</v>
      </c>
    </row>
    <row r="93" customFormat="false" ht="15" hidden="false" customHeight="false" outlineLevel="0" collapsed="false">
      <c r="A93" s="0" t="s">
        <v>205</v>
      </c>
      <c r="B93" s="0" t="s">
        <v>206</v>
      </c>
      <c r="C93" s="0" t="s">
        <v>65</v>
      </c>
      <c r="E93" s="0" t="n">
        <v>3000</v>
      </c>
      <c r="F93" s="0" t="n">
        <v>2500</v>
      </c>
      <c r="G93" s="0" t="n">
        <v>1500</v>
      </c>
      <c r="H93" s="0" t="s">
        <v>207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65</v>
      </c>
      <c r="D94" s="0" t="n">
        <v>200</v>
      </c>
      <c r="H94" s="0" t="s">
        <v>207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65</v>
      </c>
      <c r="D95" s="0" t="n">
        <v>500</v>
      </c>
      <c r="H95" s="0" t="s">
        <v>207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65</v>
      </c>
      <c r="D96" s="0" t="n">
        <v>100</v>
      </c>
      <c r="H96" s="0" t="s">
        <v>207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216</v>
      </c>
      <c r="E97" s="0" t="n">
        <v>30000</v>
      </c>
      <c r="F97" s="0" t="n">
        <v>20000</v>
      </c>
      <c r="G97" s="0" t="n">
        <v>10000</v>
      </c>
      <c r="H97" s="0" t="s">
        <v>207</v>
      </c>
    </row>
    <row r="98" customFormat="false" ht="15" hidden="false" customHeight="false" outlineLevel="0" collapsed="false">
      <c r="A98" s="0" t="s">
        <v>217</v>
      </c>
      <c r="B98" s="0" t="s">
        <v>218</v>
      </c>
      <c r="C98" s="0" t="s">
        <v>65</v>
      </c>
      <c r="E98" s="0" t="n">
        <v>3000</v>
      </c>
      <c r="F98" s="0" t="n">
        <v>2500</v>
      </c>
      <c r="G98" s="0" t="n">
        <v>1500</v>
      </c>
      <c r="H98" s="0" t="s">
        <v>207</v>
      </c>
    </row>
    <row r="99" customFormat="false" ht="15" hidden="false" customHeight="false" outlineLevel="0" collapsed="false">
      <c r="A99" s="0" t="s">
        <v>219</v>
      </c>
      <c r="B99" s="0" t="s">
        <v>220</v>
      </c>
      <c r="C99" s="0" t="s">
        <v>16</v>
      </c>
      <c r="E99" s="0" t="n">
        <v>1</v>
      </c>
      <c r="F99" s="0" t="n">
        <v>2</v>
      </c>
      <c r="G99" s="0" t="n">
        <v>3</v>
      </c>
      <c r="H99" s="0" t="s">
        <v>17</v>
      </c>
    </row>
    <row r="100" customFormat="false" ht="15" hidden="false" customHeight="false" outlineLevel="0" collapsed="false">
      <c r="A100" s="0" t="s">
        <v>221</v>
      </c>
      <c r="B100" s="0" t="s">
        <v>222</v>
      </c>
      <c r="C100" s="0" t="s">
        <v>33</v>
      </c>
      <c r="E100" s="0" t="n">
        <v>0.2</v>
      </c>
      <c r="F100" s="0" t="n">
        <v>0.1</v>
      </c>
      <c r="G100" s="0" t="n">
        <v>0.05</v>
      </c>
      <c r="H100" s="0" t="s">
        <v>17</v>
      </c>
    </row>
    <row r="101" customFormat="false" ht="15" hidden="false" customHeight="false" outlineLevel="0" collapsed="false">
      <c r="A101" s="0" t="s">
        <v>223</v>
      </c>
      <c r="B101" s="0" t="s">
        <v>224</v>
      </c>
      <c r="C101" s="0" t="s">
        <v>33</v>
      </c>
      <c r="E101" s="0" t="n">
        <v>0.1</v>
      </c>
      <c r="F101" s="0" t="n">
        <v>0.05</v>
      </c>
      <c r="G101" s="0" t="n">
        <v>0.02</v>
      </c>
      <c r="H101" s="0" t="s">
        <v>17</v>
      </c>
    </row>
    <row r="102" customFormat="false" ht="15" hidden="false" customHeight="false" outlineLevel="0" collapsed="false">
      <c r="A102" s="0" t="s">
        <v>225</v>
      </c>
      <c r="B102" s="0" t="s">
        <v>226</v>
      </c>
      <c r="C102" s="0" t="s">
        <v>33</v>
      </c>
      <c r="E102" s="0" t="n">
        <v>0.4</v>
      </c>
      <c r="F102" s="0" t="n">
        <v>0.3</v>
      </c>
      <c r="G102" s="0" t="n">
        <v>0.2</v>
      </c>
      <c r="H102" s="0" t="s">
        <v>17</v>
      </c>
    </row>
    <row r="103" customFormat="false" ht="15" hidden="false" customHeight="false" outlineLevel="0" collapsed="false">
      <c r="A103" s="0" t="s">
        <v>227</v>
      </c>
      <c r="B103" s="0" t="s">
        <v>228</v>
      </c>
      <c r="C103" s="0" t="s">
        <v>33</v>
      </c>
      <c r="E103" s="0" t="n">
        <v>0.08</v>
      </c>
      <c r="F103" s="0" t="n">
        <v>0.04</v>
      </c>
      <c r="G103" s="0" t="n">
        <v>0.02</v>
      </c>
      <c r="H103" s="0" t="s">
        <v>17</v>
      </c>
    </row>
    <row r="104" customFormat="false" ht="15" hidden="false" customHeight="false" outlineLevel="0" collapsed="false">
      <c r="A104" s="0" t="s">
        <v>229</v>
      </c>
      <c r="B104" s="0" t="s">
        <v>230</v>
      </c>
      <c r="C104" s="0" t="s">
        <v>33</v>
      </c>
      <c r="E104" s="0" t="n">
        <v>0.1</v>
      </c>
      <c r="F104" s="0" t="n">
        <v>0.06</v>
      </c>
      <c r="G104" s="0" t="n">
        <v>0.03</v>
      </c>
      <c r="H104" s="0" t="s">
        <v>17</v>
      </c>
    </row>
    <row r="105" customFormat="false" ht="15" hidden="false" customHeight="false" outlineLevel="0" collapsed="false">
      <c r="A105" s="0" t="s">
        <v>231</v>
      </c>
      <c r="B105" s="0" t="s">
        <v>232</v>
      </c>
      <c r="C105" s="0" t="s">
        <v>33</v>
      </c>
      <c r="E105" s="0" t="n">
        <v>0.05</v>
      </c>
      <c r="F105" s="0" t="n">
        <v>0.02</v>
      </c>
      <c r="G105" s="0" t="n">
        <v>0.01</v>
      </c>
      <c r="H105" s="0" t="s">
        <v>17</v>
      </c>
    </row>
    <row r="106" customFormat="false" ht="15" hidden="false" customHeight="false" outlineLevel="0" collapsed="false">
      <c r="A106" s="0" t="s">
        <v>233</v>
      </c>
      <c r="B106" s="0" t="s">
        <v>234</v>
      </c>
      <c r="C106" s="0" t="s">
        <v>33</v>
      </c>
      <c r="E106" s="0" t="n">
        <v>0.1</v>
      </c>
      <c r="F106" s="0" t="n">
        <v>0.15</v>
      </c>
      <c r="G106" s="0" t="n">
        <v>0.25</v>
      </c>
      <c r="H106" s="0" t="s">
        <v>17</v>
      </c>
    </row>
    <row r="107" customFormat="false" ht="15" hidden="false" customHeight="false" outlineLevel="0" collapsed="false">
      <c r="A107" s="0" t="s">
        <v>235</v>
      </c>
      <c r="B107" s="0" t="s">
        <v>236</v>
      </c>
      <c r="C107" s="0" t="s">
        <v>33</v>
      </c>
      <c r="E107" s="0" t="n">
        <v>0.15</v>
      </c>
      <c r="F107" s="0" t="n">
        <v>0.2</v>
      </c>
      <c r="G107" s="0" t="n">
        <v>0.3</v>
      </c>
      <c r="H107" s="0" t="s">
        <v>17</v>
      </c>
    </row>
    <row r="108" customFormat="false" ht="15" hidden="false" customHeight="false" outlineLevel="0" collapsed="false">
      <c r="A108" s="0" t="s">
        <v>237</v>
      </c>
      <c r="B108" s="0" t="s">
        <v>238</v>
      </c>
      <c r="C108" s="0" t="s">
        <v>33</v>
      </c>
      <c r="E108" s="0" t="n">
        <v>0</v>
      </c>
      <c r="F108" s="0" t="n">
        <v>0.1</v>
      </c>
      <c r="G108" s="0" t="n">
        <v>0.2</v>
      </c>
      <c r="H108" s="0" t="s">
        <v>17</v>
      </c>
    </row>
    <row r="109" customFormat="false" ht="15" hidden="false" customHeight="false" outlineLevel="0" collapsed="false">
      <c r="A109" s="0" t="s">
        <v>239</v>
      </c>
      <c r="B109" s="0" t="s">
        <v>240</v>
      </c>
      <c r="C109" s="0" t="s">
        <v>33</v>
      </c>
      <c r="E109" s="0" t="n">
        <v>0.05</v>
      </c>
      <c r="F109" s="0" t="n">
        <v>0.1</v>
      </c>
      <c r="G109" s="0" t="n">
        <v>0.15</v>
      </c>
      <c r="H109" s="0" t="s">
        <v>17</v>
      </c>
    </row>
    <row r="110" customFormat="false" ht="15" hidden="false" customHeight="false" outlineLevel="0" collapsed="false">
      <c r="A110" s="0" t="s">
        <v>241</v>
      </c>
      <c r="B110" s="0" t="s">
        <v>242</v>
      </c>
      <c r="C110" s="0" t="s">
        <v>33</v>
      </c>
      <c r="E110" s="0" t="n">
        <v>0.15</v>
      </c>
      <c r="F110" s="0" t="n">
        <v>0.2</v>
      </c>
      <c r="G110" s="0" t="n">
        <v>0.3</v>
      </c>
      <c r="H110" s="0" t="s">
        <v>17</v>
      </c>
    </row>
    <row r="112" customFormat="false" ht="15" hidden="false" customHeight="false" outlineLevel="0" collapsed="false">
      <c r="A112" s="1" t="s">
        <v>243</v>
      </c>
    </row>
    <row r="113" customFormat="false" ht="15" hidden="false" customHeight="false" outlineLevel="0" collapsed="false">
      <c r="A113" s="0" t="s">
        <v>244</v>
      </c>
      <c r="B113" s="0" t="s">
        <v>245</v>
      </c>
      <c r="C113" s="0" t="s">
        <v>246</v>
      </c>
      <c r="D113" s="0" t="n">
        <v>1</v>
      </c>
      <c r="H113" s="0" t="s">
        <v>21</v>
      </c>
    </row>
    <row r="114" customFormat="false" ht="15" hidden="false" customHeight="false" outlineLevel="0" collapsed="false">
      <c r="A114" s="0" t="s">
        <v>247</v>
      </c>
      <c r="B114" s="0" t="s">
        <v>248</v>
      </c>
      <c r="C114" s="0" t="s">
        <v>246</v>
      </c>
      <c r="D114" s="0" t="n">
        <v>1</v>
      </c>
      <c r="H114" s="0" t="s">
        <v>21</v>
      </c>
    </row>
    <row r="115" customFormat="false" ht="15" hidden="false" customHeight="false" outlineLevel="0" collapsed="false">
      <c r="A115" s="0" t="s">
        <v>249</v>
      </c>
      <c r="B115" s="0" t="s">
        <v>250</v>
      </c>
      <c r="C115" s="0" t="s">
        <v>246</v>
      </c>
      <c r="D115" s="0" t="n">
        <v>1</v>
      </c>
      <c r="H115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251</v>
      </c>
      <c r="B1" s="1" t="s">
        <v>252</v>
      </c>
      <c r="C1" s="1" t="s">
        <v>253</v>
      </c>
      <c r="D1" s="1" t="s">
        <v>254</v>
      </c>
    </row>
    <row r="2" customFormat="false" ht="15" hidden="false" customHeight="false" outlineLevel="0" collapsed="false">
      <c r="A2" s="0" t="s">
        <v>255</v>
      </c>
      <c r="B2" s="0" t="n">
        <f aca="false">Optimista!B75</f>
        <v>827194.037742681</v>
      </c>
      <c r="C2" s="0" t="n">
        <f aca="false">Neutral!B75</f>
        <v>59396.0929553104</v>
      </c>
      <c r="D2" s="0" t="n">
        <f aca="false">Pesimista!B75</f>
        <v>-136598.112572607</v>
      </c>
    </row>
    <row r="3" customFormat="false" ht="15" hidden="false" customHeight="false" outlineLevel="0" collapsed="false">
      <c r="A3" s="0" t="s">
        <v>256</v>
      </c>
      <c r="B3" s="2" t="n">
        <f aca="false">Optimista!B76</f>
        <v>54.4725888516988</v>
      </c>
      <c r="C3" s="2" t="n">
        <f aca="false">Neutral!B76</f>
        <v>0.689916456530632</v>
      </c>
      <c r="D3" s="2" t="str">
        <f aca="false">Pesimista!B76</f>
        <v>no definida</v>
      </c>
    </row>
    <row r="4" customFormat="false" ht="15" hidden="false" customHeight="false" outlineLevel="0" collapsed="false">
      <c r="A4" s="0" t="s">
        <v>257</v>
      </c>
      <c r="B4" s="0" t="n">
        <f aca="false">Optimista!B77</f>
        <v>0.0188241201012943</v>
      </c>
      <c r="C4" s="0" t="n">
        <f aca="false">Neutral!B77</f>
        <v>3.00121464151533</v>
      </c>
      <c r="D4" s="0" t="str">
        <f aca="false">Pesimista!B77</f>
        <v>no se recupera</v>
      </c>
    </row>
    <row r="5" customFormat="false" ht="15" hidden="false" customHeight="false" outlineLevel="0" collapsed="false">
      <c r="A5" s="0" t="s">
        <v>258</v>
      </c>
      <c r="B5" s="0" t="n">
        <f aca="false">Optimista!B78</f>
        <v>0.0235301501266178</v>
      </c>
      <c r="C5" s="0" t="n">
        <f aca="false">Neutral!B78</f>
        <v>3.5847846276075</v>
      </c>
      <c r="D5" s="0" t="str">
        <f aca="false">Pesimista!B78</f>
        <v>no se recupera</v>
      </c>
    </row>
    <row r="6" customFormat="false" ht="15" hidden="false" customHeight="false" outlineLevel="0" collapsed="false">
      <c r="A6" s="0" t="s">
        <v>259</v>
      </c>
      <c r="B6" s="0" t="n">
        <f aca="false">Optimista!B81</f>
        <v>17</v>
      </c>
      <c r="C6" s="0" t="n">
        <f aca="false">Neutral!B81</f>
        <v>23</v>
      </c>
      <c r="D6" s="0" t="n">
        <f aca="false">Pesimista!B81</f>
        <v>30</v>
      </c>
    </row>
    <row r="7" customFormat="false" ht="15" hidden="false" customHeight="false" outlineLevel="0" collapsed="false">
      <c r="A7" s="0" t="s">
        <v>260</v>
      </c>
      <c r="B7" s="0" t="n">
        <f aca="false">Optimista!B80</f>
        <v>10781.4432989691</v>
      </c>
      <c r="C7" s="0" t="n">
        <f aca="false">Neutral!B80</f>
        <v>8901.20481927711</v>
      </c>
      <c r="D7" s="0" t="n">
        <f aca="false">Pesimista!B80</f>
        <v>5600</v>
      </c>
    </row>
    <row r="8" customFormat="false" ht="15" hidden="false" customHeight="false" outlineLevel="0" collapsed="false">
      <c r="A8" s="0" t="s">
        <v>261</v>
      </c>
      <c r="B8" s="0" t="n">
        <f aca="false">Optimista!B79</f>
        <v>1598622.49924048</v>
      </c>
      <c r="C8" s="0" t="n">
        <f aca="false">Neutral!B79</f>
        <v>190486.580559725</v>
      </c>
      <c r="D8" s="0" t="n">
        <f aca="false">Pesimista!B79</f>
        <v>-136598.112572607</v>
      </c>
    </row>
    <row r="10" customFormat="false" ht="15" hidden="false" customHeight="false" outlineLevel="0" collapsed="false">
      <c r="A10" s="1" t="s">
        <v>262</v>
      </c>
    </row>
    <row r="11" customFormat="false" ht="15" hidden="false" customHeight="false" outlineLevel="0" collapsed="false">
      <c r="A11" s="0" t="s">
        <v>263</v>
      </c>
      <c r="B11" s="0" t="n">
        <f aca="false">meses_anio*(u_medios_grandes*INDEX(precio_medios_grandes,1,2)+(u_medios_total-u_medios_grandes)*precio_medios_chicos+u_verificadores*precio_verificadores+u_universidades*precio_universidades+u_agencias*INDEX(precio_agencias,1,2))+u_organismos*INDEX(precio_organismos,1,2)</f>
        <v>5024800</v>
      </c>
    </row>
    <row r="12" customFormat="false" ht="15" hidden="false" customHeight="false" outlineLevel="0" collapsed="false">
      <c r="A12" s="0" t="s">
        <v>264</v>
      </c>
      <c r="B12" s="0" t="n">
        <f aca="false">meses_anio*(u_medios_grandes*INDEX(precio_medios_grandes,1,2)+u_medios_chicos*precio_medios_chicos+u_verificadores*precio_verificadores+u_universidades*precio_universidades+u_agencias*INDEX(precio_agencias,1,2))+u_organismos*INDEX(precio_organismos,1,2)</f>
        <v>4960000</v>
      </c>
    </row>
    <row r="13" customFormat="false" ht="15" hidden="false" customHeight="false" outlineLevel="0" collapsed="false">
      <c r="A13" s="0" t="s">
        <v>265</v>
      </c>
      <c r="B13" s="0" t="n">
        <f aca="false">Neutral!G45</f>
        <v>369400</v>
      </c>
    </row>
    <row r="15" customFormat="false" ht="15" hidden="false" customHeight="false" outlineLevel="0" collapsed="false">
      <c r="A15" s="1" t="s">
        <v>266</v>
      </c>
    </row>
    <row r="16" customFormat="false" ht="15" hidden="false" customHeight="false" outlineLevel="0" collapsed="false">
      <c r="A16" s="0" t="s">
        <v>267</v>
      </c>
      <c r="B16" s="0" t="n">
        <f aca="false">meses_anio_0*sueldo_usd*(1+cargas_sociales)*sueldos_por_anio/meses_anio</f>
        <v>24433.5</v>
      </c>
    </row>
    <row r="17" customFormat="false" ht="15" hidden="false" customHeight="false" outlineLevel="0" collapsed="false">
      <c r="A17" s="0" t="s">
        <v>268</v>
      </c>
      <c r="B17" s="0" t="n">
        <f aca="false">tasa_capm</f>
        <v>0.1911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0" t="s">
        <v>270</v>
      </c>
      <c r="B2" s="0" t="n">
        <v>1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B6" s="0" t="n">
        <f aca="false">IF(B$3&gt;=INDEX(anio_inicio_b2b,1,$B$2),1,0)</f>
        <v>0</v>
      </c>
      <c r="C6" s="0" t="n">
        <f aca="false">IF(C$3&gt;=INDEX(anio_inicio_b2b,1,$B$2),1,0)</f>
        <v>1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275</v>
      </c>
      <c r="C7" s="0" t="n">
        <f aca="false">INDEX(usuarios_activos,C$3,$B$2)</f>
        <v>5000</v>
      </c>
      <c r="D7" s="0" t="n">
        <f aca="false">INDEX(usuarios_activos,D$3,$B$2)</f>
        <v>20000</v>
      </c>
      <c r="E7" s="0" t="n">
        <f aca="false">INDEX(usuarios_activos,E$3,$B$2)</f>
        <v>50000</v>
      </c>
      <c r="F7" s="0" t="n">
        <f aca="false">INDEX(usuarios_activos,F$3,$B$2)</f>
        <v>100000</v>
      </c>
      <c r="G7" s="0" t="n">
        <f aca="false">INDEX(usuarios_activos,G$3,$B$2)</f>
        <v>150000</v>
      </c>
    </row>
    <row r="9" customFormat="false" ht="15" hidden="false" customHeight="false" outlineLevel="0" collapsed="false">
      <c r="A9" s="1" t="s">
        <v>183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278</v>
      </c>
      <c r="C12" s="0" t="n">
        <f aca="false">C6*ROUND(INDEX(capt_medios_grandes,1,$B$2)*sens_captacion*(u_medios_grandes-C10),0)</f>
        <v>2</v>
      </c>
      <c r="D12" s="0" t="n">
        <f aca="false">D6*ROUND(INDEX(capt_medios_grandes,1,$B$2)*sens_captacion*(u_medios_grandes-D10),0)</f>
        <v>2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283</v>
      </c>
      <c r="C17" s="0" t="n">
        <f aca="false">C6*ROUND(INDEX(capt_medios_chicos,1,$B$2)*sens_captacion*(u_medios_chicos-C15),0)</f>
        <v>9</v>
      </c>
      <c r="D17" s="0" t="n">
        <f aca="false">D6*ROUND(INDEX(capt_medios_chicos,1,$B$2)*sens_captacion*(u_medios_chicos-D15),0)</f>
        <v>8</v>
      </c>
      <c r="E17" s="0" t="n">
        <f aca="false">E6*ROUND(INDEX(capt_medios_chicos,1,$B$2)*sens_captacion*(u_medios_chicos-E15),0)</f>
        <v>8</v>
      </c>
      <c r="F17" s="0" t="n">
        <f aca="false">F6*ROUND(INDEX(capt_medios_chicos,1,$B$2)*sens_captacion*(u_medios_chicos-F15),0)</f>
        <v>7</v>
      </c>
      <c r="G17" s="0" t="n">
        <f aca="false">G6*ROUND(INDEX(capt_medios_chicos,1,$B$2)*sens_captacion*(u_medios_chicos-G15),0)</f>
        <v>7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C6*ROUND(INDEX(capt_verificadores,1,$B$2)*sens_captacion*(u_verificadores-C20),0)</f>
        <v>1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0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C6*ROUND(INDEX(capt_universidades,1,$B$2)*sens_captacion*(u_universidades-C25),0)</f>
        <v>12</v>
      </c>
      <c r="D27" s="0" t="n">
        <f aca="false">D6*ROUND(INDEX(capt_universidades,1,$B$2)*sens_captacion*(u_universidades-D25),0)</f>
        <v>11</v>
      </c>
      <c r="E27" s="0" t="n">
        <f aca="false">E6*ROUND(INDEX(capt_universidades,1,$B$2)*sens_captacion*(u_universidades-E25),0)</f>
        <v>10</v>
      </c>
      <c r="F27" s="0" t="n">
        <f aca="false">F6*ROUND(INDEX(capt_universidades,1,$B$2)*sens_captacion*(u_universidades-F25),0)</f>
        <v>9</v>
      </c>
      <c r="G27" s="0" t="n">
        <f aca="false">G6*ROUND(INDEX(capt_universidades,1,$B$2)*sens_captacion*(u_universidades-G25),0)</f>
        <v>9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298</v>
      </c>
      <c r="C32" s="0" t="n">
        <f aca="false">C6*ROUND(INDEX(capt_agencias,1,$B$2)*sens_captacion*(u_agencias-C30),0)</f>
        <v>6</v>
      </c>
      <c r="D32" s="0" t="n">
        <f aca="false">D6*ROUND(INDEX(capt_agencias,1,$B$2)*sens_captacion*(u_agencias-D30),0)</f>
        <v>6</v>
      </c>
      <c r="E32" s="0" t="n">
        <f aca="false">E6*ROUND(INDEX(capt_agencias,1,$B$2)*sens_captacion*(u_agencias-E30),0)</f>
        <v>5</v>
      </c>
      <c r="F32" s="0" t="n">
        <f aca="false">F6*ROUND(INDEX(capt_agencias,1,$B$2)*sens_captacion*(u_agencias-F30),0)</f>
        <v>5</v>
      </c>
      <c r="G32" s="0" t="n">
        <f aca="false">G6*ROUND(INDEX(capt_agencias,1,$B$2)*sens_captacion*(u_agencias-G30),0)</f>
        <v>5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301</v>
      </c>
      <c r="C35" s="0" t="n">
        <f aca="false">C5*C6*ROUND(INDEX(capt_organismos,1,$B$2)*sens_captacion*u_organismos,0)</f>
        <v>3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3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3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36000</v>
      </c>
      <c r="D39" s="0" t="n">
        <f aca="false">D14*INDEX(precio_medios_grandes,1,$B$2)*sens_precios*meses_anio</f>
        <v>108000</v>
      </c>
      <c r="E39" s="0" t="n">
        <f aca="false">E14*INDEX(precio_medios_grandes,1,$B$2)*sens_precios*meses_anio</f>
        <v>162000</v>
      </c>
      <c r="F39" s="0" t="n">
        <f aca="false">F14*INDEX(precio_medios_grandes,1,$B$2)*sens_precios*meses_anio</f>
        <v>180000</v>
      </c>
      <c r="G39" s="0" t="n">
        <f aca="false">G14*INDEX(precio_medios_grandes,1,$B$2)*sens_precios*meses_anio</f>
        <v>180000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10800</v>
      </c>
      <c r="D40" s="0" t="n">
        <f aca="false">D19*precio_medios_chicos*sens_precios*meses_anio</f>
        <v>30000</v>
      </c>
      <c r="E40" s="0" t="n">
        <f aca="false">E19*precio_medios_chicos*sens_precios*meses_anio</f>
        <v>45600</v>
      </c>
      <c r="F40" s="0" t="n">
        <f aca="false">F19*precio_medios_chicos*sens_precios*meses_anio</f>
        <v>57600</v>
      </c>
      <c r="G40" s="0" t="n">
        <f aca="false">G19*precio_medios_chicos*sens_precios*meses_anio</f>
        <v>66000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3000</v>
      </c>
      <c r="D41" s="0" t="n">
        <f aca="false">D24*precio_verificadores*sens_precios*meses_anio</f>
        <v>9000</v>
      </c>
      <c r="E41" s="0" t="n">
        <f aca="false">E24*precio_verificadores*sens_precios*meses_anio</f>
        <v>12000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7200</v>
      </c>
      <c r="D42" s="0" t="n">
        <f aca="false">D29*precio_universidades*sens_precios*meses_anio</f>
        <v>20400</v>
      </c>
      <c r="E42" s="0" t="n">
        <f aca="false">E29*precio_universidades*sens_precios*meses_anio</f>
        <v>31800</v>
      </c>
      <c r="F42" s="0" t="n">
        <f aca="false">F29*precio_universidades*sens_precios*meses_anio</f>
        <v>41400</v>
      </c>
      <c r="G42" s="0" t="n">
        <f aca="false">G29*precio_universidades*sens_precios*meses_anio</f>
        <v>49800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108000</v>
      </c>
      <c r="D43" s="0" t="n">
        <f aca="false">D34*INDEX(precio_agencias,1,$B$2)*sens_precios*meses_anio</f>
        <v>306000</v>
      </c>
      <c r="E43" s="0" t="n">
        <f aca="false">E34*INDEX(precio_agencias,1,$B$2)*sens_precios*meses_anio</f>
        <v>450000</v>
      </c>
      <c r="F43" s="0" t="n">
        <f aca="false">F34*INDEX(precio_agencias,1,$B$2)*sens_precios*meses_anio</f>
        <v>558000</v>
      </c>
      <c r="G43" s="0" t="n">
        <f aca="false">G34*INDEX(precio_agencias,1,$B$2)*sens_precios*meses_anio</f>
        <v>648000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90000</v>
      </c>
      <c r="D44" s="0" t="n">
        <f aca="false">D35*INDEX(precio_organismos,1,$B$2)*sens_precios</f>
        <v>0</v>
      </c>
      <c r="E44" s="0" t="n">
        <f aca="false">E35*INDEX(precio_organismos,1,$B$2)*sens_precios</f>
        <v>90000</v>
      </c>
      <c r="F44" s="0" t="n">
        <f aca="false">F35*INDEX(precio_organismos,1,$B$2)*sens_precios</f>
        <v>0</v>
      </c>
      <c r="G44" s="0" t="n">
        <f aca="false">G35*INDEX(precio_organismos,1,$B$2)*sens_precios</f>
        <v>90000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168</v>
      </c>
      <c r="C49" s="0" t="n">
        <f aca="false">meses_anio*(infra_base+infra_escalado*C7/ua_escalado)+dominio_anual</f>
        <v>663</v>
      </c>
      <c r="D49" s="0" t="n">
        <f aca="false">meses_anio*(infra_base+infra_escalado*D7/ua_escalado)+dominio_anual</f>
        <v>843</v>
      </c>
      <c r="E49" s="0" t="n">
        <f aca="false">meses_anio*(infra_base+infra_escalado*E7/ua_escalado)+dominio_anual</f>
        <v>1203</v>
      </c>
      <c r="F49" s="0" t="n">
        <f aca="false">meses_anio*(infra_base+infra_escalado*F7/ua_escalado)+dominio_anual</f>
        <v>1803</v>
      </c>
      <c r="G49" s="0" t="n">
        <f aca="false">meses_anio*(infra_base+infra_escalado*G7/ua_escalado)+dominio_anual</f>
        <v>2403</v>
      </c>
    </row>
    <row r="50" customFormat="false" ht="15" hidden="false" customHeight="false" outlineLevel="0" collapsed="false">
      <c r="A50" s="0" t="s">
        <v>314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4380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315</v>
      </c>
      <c r="C51" s="0" t="n">
        <f aca="false">INDEX(marketing,C$3,$B$2)</f>
        <v>6000</v>
      </c>
      <c r="D51" s="0" t="n">
        <f aca="false">INDEX(marketing,D$3,$B$2)</f>
        <v>9000</v>
      </c>
      <c r="E51" s="0" t="n">
        <f aca="false">INDEX(marketing,E$3,$B$2)</f>
        <v>12000</v>
      </c>
      <c r="F51" s="0" t="n">
        <f aca="false">INDEX(marketing,F$3,$B$2)</f>
        <v>15000</v>
      </c>
      <c r="G51" s="0" t="n">
        <f aca="false">INDEX(marketing,G$3,$B$2)</f>
        <v>18000</v>
      </c>
    </row>
    <row r="52" customFormat="false" ht="15" hidden="false" customHeight="false" outlineLevel="0" collapsed="false">
      <c r="A52" s="0" t="s">
        <v>316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317</v>
      </c>
      <c r="C53" s="0" t="n">
        <f aca="false">C7*MIN(INDEX(analisis_por_ua_mes,1,$B$2),tope_mensual)*meses_anio*(1-INDEX(tasa_reuso,1,$B$2))*INDEX(costo_analisis,1,$B$2)*sens_costo_analisis</f>
        <v>2293.92</v>
      </c>
      <c r="D53" s="0" t="n">
        <f aca="false">D7*MIN(INDEX(analisis_por_ua_mes,1,$B$2),tope_mensual)*meses_anio*(1-INDEX(tasa_reuso,1,$B$2))*INDEX(costo_analisis,1,$B$2)*sens_costo_analisis</f>
        <v>9175.68</v>
      </c>
      <c r="E53" s="0" t="n">
        <f aca="false">E7*MIN(INDEX(analisis_por_ua_mes,1,$B$2),tope_mensual)*meses_anio*(1-INDEX(tasa_reuso,1,$B$2))*INDEX(costo_analisis,1,$B$2)*sens_costo_analisis</f>
        <v>22939.2</v>
      </c>
      <c r="F53" s="0" t="n">
        <f aca="false">F7*MIN(INDEX(analisis_por_ua_mes,1,$B$2),tope_mensual)*meses_anio*(1-INDEX(tasa_reuso,1,$B$2))*INDEX(costo_analisis,1,$B$2)*sens_costo_analisis</f>
        <v>45878.4</v>
      </c>
      <c r="G53" s="0" t="n">
        <f aca="false">G7*MIN(INDEX(analisis_por_ua_mes,1,$B$2),tope_mensual)*meses_anio*(1-INDEX(tasa_reuso,1,$B$2))*INDEX(costo_analisis,1,$B$2)*sens_costo_analisis</f>
        <v>68817.6</v>
      </c>
    </row>
    <row r="54" customFormat="false" ht="15" hidden="false" customHeight="false" outlineLevel="0" collapsed="false">
      <c r="A54" s="0" t="s">
        <v>318</v>
      </c>
      <c r="C54" s="0" t="n">
        <f aca="false">((C19+C24)*INDEX(consultas_pro_mes,1,$B$2)+(C14+C34)*INDEX(consultas_ent_mes,1,$B$2))*meses_anio*(1-INDEX(tasa_reuso,1,$B$2))*INDEX(costo_analisis,1,$B$2)*sens_costo_analisis</f>
        <v>8258.112</v>
      </c>
      <c r="D54" s="0" t="n">
        <f aca="false">((D19+D24)*INDEX(consultas_pro_mes,1,$B$2)+(D14+D34)*INDEX(consultas_ent_mes,1,$B$2))*meses_anio*(1-INDEX(tasa_reuso,1,$B$2))*INDEX(costo_analisis,1,$B$2)*sens_costo_analisis</f>
        <v>23673.2544</v>
      </c>
      <c r="E54" s="0" t="n">
        <f aca="false">((E19+E24)*INDEX(consultas_pro_mes,1,$B$2)+(E14+E34)*INDEX(consultas_ent_mes,1,$B$2))*meses_anio*(1-INDEX(tasa_reuso,1,$B$2))*INDEX(costo_analisis,1,$B$2)*sens_costo_analisis</f>
        <v>35051.0976</v>
      </c>
      <c r="F54" s="0" t="n">
        <f aca="false">((F19+F24)*INDEX(consultas_pro_mes,1,$B$2)+(F14+F34)*INDEX(consultas_ent_mes,1,$B$2))*meses_anio*(1-INDEX(tasa_reuso,1,$B$2))*INDEX(costo_analisis,1,$B$2)*sens_costo_analisis</f>
        <v>42391.6416</v>
      </c>
      <c r="G54" s="0" t="n">
        <f aca="false">((G19+G24)*INDEX(consultas_pro_mes,1,$B$2)+(G14+G34)*INDEX(consultas_ent_mes,1,$B$2))*meses_anio*(1-INDEX(tasa_reuso,1,$B$2))*INDEX(costo_analisis,1,$B$2)*sens_costo_analisis</f>
        <v>47621.7792</v>
      </c>
    </row>
    <row r="55" customFormat="false" ht="15" hidden="false" customHeight="false" outlineLevel="0" collapsed="false">
      <c r="A55" s="0" t="s">
        <v>319</v>
      </c>
      <c r="B55" s="0" t="n">
        <f aca="false">SUM(B48:B54)</f>
        <v>1741</v>
      </c>
      <c r="C55" s="0" t="n">
        <f aca="false">SUM(C48:C54)</f>
        <v>48264.042</v>
      </c>
      <c r="D55" s="0" t="n">
        <f aca="false">SUM(D48:D54)</f>
        <v>79397.4549</v>
      </c>
      <c r="E55" s="0" t="n">
        <f aca="false">SUM(E48:E54)</f>
        <v>109515.094125</v>
      </c>
      <c r="F55" s="0" t="n">
        <f aca="false">SUM(F48:F54)</f>
        <v>145091.92795125</v>
      </c>
      <c r="G55" s="0" t="n">
        <f aca="false">SUM(G48:G54)</f>
        <v>178643.209868813</v>
      </c>
    </row>
    <row r="57" customFormat="false" ht="15" hidden="false" customHeight="false" outlineLevel="0" collapsed="false">
      <c r="A57" s="1" t="s">
        <v>320</v>
      </c>
    </row>
    <row r="58" customFormat="false" ht="15" hidden="false" customHeight="false" outlineLevel="0" collapsed="false">
      <c r="A58" s="0" t="s">
        <v>321</v>
      </c>
      <c r="B58" s="0" t="n">
        <f aca="false">B45-B55</f>
        <v>-1741</v>
      </c>
      <c r="C58" s="0" t="n">
        <f aca="false">C45-C55</f>
        <v>206735.958</v>
      </c>
      <c r="D58" s="0" t="n">
        <f aca="false">D45-D55</f>
        <v>394002.5451</v>
      </c>
      <c r="E58" s="0" t="n">
        <f aca="false">E45-E55</f>
        <v>681884.905875</v>
      </c>
      <c r="F58" s="0" t="n">
        <f aca="false">F45-F55</f>
        <v>703908.07204875</v>
      </c>
      <c r="G58" s="0" t="n">
        <f aca="false">G45-G55</f>
        <v>867156.790131188</v>
      </c>
    </row>
    <row r="59" customFormat="false" ht="15" hidden="false" customHeight="false" outlineLevel="0" collapsed="false">
      <c r="A59" s="0" t="s">
        <v>322</v>
      </c>
      <c r="B59" s="0" t="n">
        <f aca="false">MIN(0,B58)</f>
        <v>-1741</v>
      </c>
      <c r="C59" s="0" t="n">
        <f aca="false">MIN(0,B59+C58)</f>
        <v>0</v>
      </c>
      <c r="D59" s="0" t="n">
        <f aca="false">MIN(0,C59+D58)</f>
        <v>0</v>
      </c>
      <c r="E59" s="0" t="n">
        <f aca="false">MIN(0,D59+E58)</f>
        <v>0</v>
      </c>
      <c r="F59" s="0" t="n">
        <f aca="false">MIN(0,E59+F58)</f>
        <v>0</v>
      </c>
      <c r="G59" s="0" t="n">
        <f aca="false">MIN(0,F59+G58)</f>
        <v>0</v>
      </c>
    </row>
    <row r="60" customFormat="false" ht="15" hidden="false" customHeight="false" outlineLevel="0" collapsed="false">
      <c r="A60" s="0" t="s">
        <v>323</v>
      </c>
      <c r="B60" s="0" t="n">
        <f aca="false">alicuota_ganancias*MAX(0,B58)</f>
        <v>0</v>
      </c>
      <c r="C60" s="0" t="n">
        <f aca="false">alicuota_ganancias*MAX(0,B59+C58)</f>
        <v>71748.2353</v>
      </c>
      <c r="D60" s="0" t="n">
        <f aca="false">alicuota_ganancias*MAX(0,C59+D58)</f>
        <v>137900.890785</v>
      </c>
      <c r="E60" s="0" t="n">
        <f aca="false">alicuota_ganancias*MAX(0,D59+E58)</f>
        <v>238659.71705625</v>
      </c>
      <c r="F60" s="0" t="n">
        <f aca="false">alicuota_ganancias*MAX(0,E59+F58)</f>
        <v>246367.825217063</v>
      </c>
      <c r="G60" s="0" t="n">
        <f aca="false">alicuota_ganancias*MAX(0,F59+G58)</f>
        <v>303504.876545916</v>
      </c>
    </row>
    <row r="61" customFormat="false" ht="15" hidden="false" customHeight="false" outlineLevel="0" collapsed="false">
      <c r="A61" s="0" t="s">
        <v>324</v>
      </c>
      <c r="B61" s="0" t="n">
        <f aca="false">meses_cobro/meses_anio*B45</f>
        <v>0</v>
      </c>
      <c r="C61" s="0" t="n">
        <f aca="false">meses_cobro/meses_anio*C45</f>
        <v>42500</v>
      </c>
      <c r="D61" s="0" t="n">
        <f aca="false">meses_cobro/meses_anio*D45</f>
        <v>78900</v>
      </c>
      <c r="E61" s="0" t="n">
        <f aca="false">meses_cobro/meses_anio*E45</f>
        <v>131900</v>
      </c>
      <c r="F61" s="0" t="n">
        <f aca="false">meses_cobro/meses_anio*F45</f>
        <v>141500</v>
      </c>
      <c r="G61" s="0" t="n">
        <f aca="false">meses_cobro/meses_anio*G45</f>
        <v>174300</v>
      </c>
    </row>
    <row r="62" customFormat="false" ht="15" hidden="false" customHeight="false" outlineLevel="0" collapsed="false">
      <c r="A62" s="0" t="s">
        <v>325</v>
      </c>
      <c r="B62" s="0" t="n">
        <f aca="false">B61</f>
        <v>0</v>
      </c>
      <c r="C62" s="0" t="n">
        <f aca="false">C61-B61</f>
        <v>42500</v>
      </c>
      <c r="D62" s="0" t="n">
        <f aca="false">D61-C61</f>
        <v>36400</v>
      </c>
      <c r="E62" s="0" t="n">
        <f aca="false">E61-D61</f>
        <v>53000</v>
      </c>
      <c r="F62" s="0" t="n">
        <f aca="false">F61-E61</f>
        <v>9600</v>
      </c>
      <c r="G62" s="0" t="n">
        <f aca="false">G61-F61</f>
        <v>32800</v>
      </c>
    </row>
    <row r="63" customFormat="false" ht="15" hidden="false" customHeight="false" outlineLevel="0" collapsed="false">
      <c r="A63" s="0" t="s">
        <v>326</v>
      </c>
      <c r="G63" s="0" t="n">
        <f aca="false">G61</f>
        <v>174300</v>
      </c>
    </row>
    <row r="65" customFormat="false" ht="15" hidden="false" customHeight="false" outlineLevel="0" collapsed="false">
      <c r="A65" s="1" t="s">
        <v>327</v>
      </c>
    </row>
    <row r="66" customFormat="false" ht="15" hidden="false" customHeight="false" outlineLevel="0" collapsed="false">
      <c r="A66" s="0" t="s">
        <v>328</v>
      </c>
      <c r="B66" s="0" t="n">
        <f aca="false">B58-B60-B62+N(B63)</f>
        <v>-1741</v>
      </c>
      <c r="C66" s="0" t="n">
        <f aca="false">C58-C60-C62+N(C63)</f>
        <v>92487.7227</v>
      </c>
      <c r="D66" s="0" t="n">
        <f aca="false">D58-D60-D62+N(D63)</f>
        <v>219701.654315</v>
      </c>
      <c r="E66" s="0" t="n">
        <f aca="false">E58-E60-E62+N(E63)</f>
        <v>390225.18881875</v>
      </c>
      <c r="F66" s="0" t="n">
        <f aca="false">F58-F60-F62+N(F63)</f>
        <v>447940.246831688</v>
      </c>
      <c r="G66" s="0" t="n">
        <f aca="false">G58-G60-G62+N(G63)</f>
        <v>705151.913585272</v>
      </c>
    </row>
    <row r="67" customFormat="false" ht="15" hidden="false" customHeight="false" outlineLevel="0" collapsed="false">
      <c r="A67" s="0" t="s">
        <v>329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330</v>
      </c>
      <c r="B68" s="0" t="n">
        <f aca="false">B66*B67</f>
        <v>-1741</v>
      </c>
      <c r="C68" s="0" t="n">
        <f aca="false">C66*C67</f>
        <v>73990.17816</v>
      </c>
      <c r="D68" s="0" t="n">
        <f aca="false">D66*D67</f>
        <v>140609.0587616</v>
      </c>
      <c r="E68" s="0" t="n">
        <f aca="false">E66*E67</f>
        <v>199795.2966752</v>
      </c>
      <c r="F68" s="0" t="n">
        <f aca="false">F66*F67</f>
        <v>183476.325102259</v>
      </c>
      <c r="G68" s="0" t="n">
        <f aca="false">G66*G67</f>
        <v>231064.179043622</v>
      </c>
    </row>
    <row r="69" customFormat="false" ht="15" hidden="false" customHeight="false" outlineLevel="0" collapsed="false">
      <c r="A69" s="0" t="s">
        <v>331</v>
      </c>
      <c r="B69" s="0" t="n">
        <f aca="false">B66</f>
        <v>-1741</v>
      </c>
      <c r="C69" s="0" t="n">
        <f aca="false">B69+C66</f>
        <v>90746.7227</v>
      </c>
      <c r="D69" s="0" t="n">
        <f aca="false">C69+D66</f>
        <v>310448.377015</v>
      </c>
      <c r="E69" s="0" t="n">
        <f aca="false">D69+E66</f>
        <v>700673.56583375</v>
      </c>
      <c r="F69" s="0" t="n">
        <f aca="false">E69+F66</f>
        <v>1148613.81266544</v>
      </c>
      <c r="G69" s="0" t="n">
        <f aca="false">F69+G66</f>
        <v>1853765.72625071</v>
      </c>
    </row>
    <row r="70" customFormat="false" ht="15" hidden="false" customHeight="false" outlineLevel="0" collapsed="false">
      <c r="A70" s="0" t="s">
        <v>332</v>
      </c>
      <c r="B70" s="0" t="n">
        <f aca="false">B68</f>
        <v>-1741</v>
      </c>
      <c r="C70" s="0" t="n">
        <f aca="false">B70+C68</f>
        <v>72249.17816</v>
      </c>
      <c r="D70" s="0" t="n">
        <f aca="false">C70+D68</f>
        <v>212858.2369216</v>
      </c>
      <c r="E70" s="0" t="n">
        <f aca="false">D70+E68</f>
        <v>412653.5335968</v>
      </c>
      <c r="F70" s="0" t="n">
        <f aca="false">E70+F68</f>
        <v>596129.858699059</v>
      </c>
      <c r="G70" s="0" t="n">
        <f aca="false">F70+G68</f>
        <v>827194.037742681</v>
      </c>
    </row>
    <row r="71" customFormat="false" ht="15" hidden="false" customHeight="false" outlineLevel="0" collapsed="false">
      <c r="A71" s="0" t="s">
        <v>333</v>
      </c>
      <c r="C71" s="0" t="n">
        <f aca="false">IF(AND(B69&lt;0,C69&gt;=0),C$3-1+(-B69)/C66,"")</f>
        <v>0.0188241201012943</v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str">
        <f aca="false">IF(AND(E69&lt;0,F69&gt;=0),F$3-1+(-E69)/F66,"")</f>
        <v/>
      </c>
      <c r="G71" s="0" t="str">
        <f aca="false">IF(AND(F69&lt;0,G69&gt;=0),G$3-1+(-F69)/G66,"")</f>
        <v/>
      </c>
    </row>
    <row r="72" customFormat="false" ht="15" hidden="false" customHeight="false" outlineLevel="0" collapsed="false">
      <c r="A72" s="0" t="s">
        <v>334</v>
      </c>
      <c r="C72" s="0" t="n">
        <f aca="false">IF(AND(B70&lt;0,C70&gt;=0),C$3-1+(-B70)/C68,"")</f>
        <v>0.0235301501266178</v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str">
        <f aca="false">IF(AND(E70&lt;0,F70&gt;=0),F$3-1+(-E70)/F68,"")</f>
        <v/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335</v>
      </c>
    </row>
    <row r="75" customFormat="false" ht="15" hidden="false" customHeight="false" outlineLevel="0" collapsed="false">
      <c r="A75" s="0" t="s">
        <v>255</v>
      </c>
      <c r="B75" s="0" t="n">
        <f aca="false">SUM(B68:G68)</f>
        <v>827194.037742681</v>
      </c>
    </row>
    <row r="76" customFormat="false" ht="15" hidden="false" customHeight="false" outlineLevel="0" collapsed="false">
      <c r="A76" s="0" t="s">
        <v>256</v>
      </c>
      <c r="B76" s="2" t="n">
        <f aca="false">IFERROR(IRR(B66:G66),"no definida")</f>
        <v>54.4725888516988</v>
      </c>
    </row>
    <row r="77" customFormat="false" ht="15" hidden="false" customHeight="false" outlineLevel="0" collapsed="false">
      <c r="A77" s="0" t="s">
        <v>257</v>
      </c>
      <c r="B77" s="0" t="n">
        <f aca="false">IF(COUNT(C71:G71)=0,"no se recupera",MIN(C71:G71))</f>
        <v>0.0188241201012943</v>
      </c>
    </row>
    <row r="78" customFormat="false" ht="15" hidden="false" customHeight="false" outlineLevel="0" collapsed="false">
      <c r="A78" s="0" t="s">
        <v>258</v>
      </c>
      <c r="B78" s="0" t="n">
        <f aca="false">IF(COUNT(C72:G72)=0,"no se recupera",MIN(C72:G72))</f>
        <v>0.0235301501266178</v>
      </c>
    </row>
    <row r="79" customFormat="false" ht="15" hidden="false" customHeight="false" outlineLevel="0" collapsed="false">
      <c r="A79" s="0" t="s">
        <v>261</v>
      </c>
      <c r="B79" s="0" t="n">
        <f aca="false">SUM(B68:G68)+MAX(0,G66-G63)*(1+crecimiento_perpetuo)/(tasa_descuento-crecimiento_perpetuo)/(1+tasa_descuento)^5</f>
        <v>1598622.49924048</v>
      </c>
    </row>
    <row r="80" customFormat="false" ht="15" hidden="false" customHeight="false" outlineLevel="0" collapsed="false">
      <c r="A80" s="0" t="s">
        <v>260</v>
      </c>
      <c r="B80" s="0" t="n">
        <f aca="false">IFERROR(G45/G36,"no definido")</f>
        <v>10781.4432989691</v>
      </c>
    </row>
    <row r="81" customFormat="false" ht="15" hidden="false" customHeight="false" outlineLevel="0" collapsed="false">
      <c r="A81" s="0" t="s">
        <v>259</v>
      </c>
      <c r="B81" s="0" t="n">
        <f aca="false">IFERROR(ROUNDUP(G55/B80,0),"no definido")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0" t="s">
        <v>270</v>
      </c>
      <c r="B2" s="0" t="n">
        <v>2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275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183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1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1</v>
      </c>
      <c r="G12" s="0" t="n">
        <f aca="false">G6*ROUND(INDEX(capt_medios_grandes,1,$B$2)*sens_captacion*(u_medios_grandes-G10),0)</f>
        <v>1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283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5</v>
      </c>
      <c r="E17" s="0" t="n">
        <f aca="false">E6*ROUND(INDEX(capt_medios_chicos,1,$B$2)*sens_captacion*(u_medios_chicos-E15),0)</f>
        <v>4</v>
      </c>
      <c r="F17" s="0" t="n">
        <f aca="false">F6*ROUND(INDEX(capt_medios_chicos,1,$B$2)*sens_captacion*(u_medios_chicos-F15),0)</f>
        <v>4</v>
      </c>
      <c r="G17" s="0" t="n">
        <f aca="false">G6*ROUND(INDEX(capt_medios_chicos,1,$B$2)*sens_captacion*(u_medios_chicos-G15),0)</f>
        <v>4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1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293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6</v>
      </c>
      <c r="E27" s="0" t="n">
        <f aca="false">E6*ROUND(INDEX(capt_universidades,1,$B$2)*sens_captacion*(u_universidades-E25),0)</f>
        <v>6</v>
      </c>
      <c r="F27" s="0" t="n">
        <f aca="false">F6*ROUND(INDEX(capt_universidades,1,$B$2)*sens_captacion*(u_universidades-F25),0)</f>
        <v>6</v>
      </c>
      <c r="G27" s="0" t="n">
        <f aca="false">G6*ROUND(INDEX(capt_universidades,1,$B$2)*sens_captacion*(u_universidades-G25),0)</f>
        <v>5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2</v>
      </c>
      <c r="E32" s="0" t="n">
        <f aca="false">E6*ROUND(INDEX(capt_agencias,1,$B$2)*sens_captacion*(u_agencias-E30),0)</f>
        <v>2</v>
      </c>
      <c r="F32" s="0" t="n">
        <f aca="false">F6*ROUND(INDEX(capt_agencias,1,$B$2)*sens_captacion*(u_agencias-F30),0)</f>
        <v>2</v>
      </c>
      <c r="G32" s="0" t="n">
        <f aca="false">G6*ROUND(INDEX(capt_agencias,1,$B$2)*sens_captacion*(u_agencias-G30),0)</f>
        <v>2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301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2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2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15000</v>
      </c>
      <c r="E39" s="0" t="n">
        <f aca="false">E14*INDEX(precio_medios_grandes,1,$B$2)*sens_precios*meses_anio</f>
        <v>45000</v>
      </c>
      <c r="F39" s="0" t="n">
        <f aca="false">F14*INDEX(precio_medios_grandes,1,$B$2)*sens_precios*meses_anio</f>
        <v>75000</v>
      </c>
      <c r="G39" s="0" t="n">
        <f aca="false">G14*INDEX(precio_medios_grandes,1,$B$2)*sens_precios*meses_anio</f>
        <v>105000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6000</v>
      </c>
      <c r="E40" s="0" t="n">
        <f aca="false">E19*precio_medios_chicos*sens_precios*meses_anio</f>
        <v>15600</v>
      </c>
      <c r="F40" s="0" t="n">
        <f aca="false">F19*precio_medios_chicos*sens_precios*meses_anio</f>
        <v>21600</v>
      </c>
      <c r="G40" s="0" t="n">
        <f aca="false">G19*precio_medios_chicos*sens_precios*meses_anio</f>
        <v>26400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3000</v>
      </c>
      <c r="E41" s="0" t="n">
        <f aca="false">E24*precio_verificadores*sens_precios*meses_anio</f>
        <v>9000</v>
      </c>
      <c r="F41" s="0" t="n">
        <f aca="false">F24*precio_verificadores*sens_precios*meses_anio</f>
        <v>12000</v>
      </c>
      <c r="G41" s="0" t="n">
        <f aca="false">G24*precio_verificadores*sens_precios*meses_anio</f>
        <v>12000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3600</v>
      </c>
      <c r="E42" s="0" t="n">
        <f aca="false">E29*precio_universidades*sens_precios*meses_anio</f>
        <v>10200</v>
      </c>
      <c r="F42" s="0" t="n">
        <f aca="false">F29*precio_universidades*sens_precios*meses_anio</f>
        <v>16200</v>
      </c>
      <c r="G42" s="0" t="n">
        <f aca="false">G29*precio_universidades*sens_precios*meses_anio</f>
        <v>21000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30000</v>
      </c>
      <c r="E43" s="0" t="n">
        <f aca="false">E34*INDEX(precio_agencias,1,$B$2)*sens_precios*meses_anio</f>
        <v>90000</v>
      </c>
      <c r="F43" s="0" t="n">
        <f aca="false">F34*INDEX(precio_agencias,1,$B$2)*sens_precios*meses_anio</f>
        <v>135000</v>
      </c>
      <c r="G43" s="0" t="n">
        <f aca="false">G34*INDEX(precio_agencias,1,$B$2)*sens_precios*meses_anio</f>
        <v>165000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40000</v>
      </c>
      <c r="F44" s="0" t="n">
        <f aca="false">F35*INDEX(precio_organismos,1,$B$2)*sens_precios</f>
        <v>0</v>
      </c>
      <c r="G44" s="0" t="n">
        <f aca="false">G35*INDEX(precio_organismos,1,$B$2)*sens_precios</f>
        <v>40000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168</v>
      </c>
      <c r="C49" s="0" t="n">
        <f aca="false">meses_anio*(infra_base+infra_escalado*C7/ua_escalado)+dominio_anual</f>
        <v>627</v>
      </c>
      <c r="D49" s="0" t="n">
        <f aca="false">meses_anio*(infra_base+infra_escalado*D7/ua_escalado)+dominio_anual</f>
        <v>699</v>
      </c>
      <c r="E49" s="0" t="n">
        <f aca="false">meses_anio*(infra_base+infra_escalado*E7/ua_escalado)+dominio_anual</f>
        <v>843</v>
      </c>
      <c r="F49" s="0" t="n">
        <f aca="false">meses_anio*(infra_base+infra_escalado*F7/ua_escalado)+dominio_anual</f>
        <v>1083</v>
      </c>
      <c r="G49" s="0" t="n">
        <f aca="false">meses_anio*(infra_base+infra_escalado*G7/ua_escalado)+dominio_anual</f>
        <v>1323</v>
      </c>
    </row>
    <row r="50" customFormat="false" ht="15" hidden="false" customHeight="false" outlineLevel="0" collapsed="false">
      <c r="A50" s="0" t="s">
        <v>314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315</v>
      </c>
      <c r="C51" s="0" t="n">
        <f aca="false">INDEX(marketing,C$3,$B$2)</f>
        <v>4000</v>
      </c>
      <c r="D51" s="0" t="n">
        <f aca="false">INDEX(marketing,D$3,$B$2)</f>
        <v>6000</v>
      </c>
      <c r="E51" s="0" t="n">
        <f aca="false">INDEX(marketing,E$3,$B$2)</f>
        <v>8000</v>
      </c>
      <c r="F51" s="0" t="n">
        <f aca="false">INDEX(marketing,F$3,$B$2)</f>
        <v>10000</v>
      </c>
      <c r="G51" s="0" t="n">
        <f aca="false">INDEX(marketing,G$3,$B$2)</f>
        <v>12000</v>
      </c>
    </row>
    <row r="52" customFormat="false" ht="15" hidden="false" customHeight="false" outlineLevel="0" collapsed="false">
      <c r="A52" s="0" t="s">
        <v>316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317</v>
      </c>
      <c r="C53" s="0" t="n">
        <f aca="false">C7*MIN(INDEX(analisis_por_ua_mes,1,$B$2),tope_mensual)*meses_anio*(1-INDEX(tasa_reuso,1,$B$2))*INDEX(costo_analisis,1,$B$2)*sens_costo_analisis</f>
        <v>2070.096</v>
      </c>
      <c r="D53" s="0" t="n">
        <f aca="false">D7*MIN(INDEX(analisis_por_ua_mes,1,$B$2),tope_mensual)*meses_anio*(1-INDEX(tasa_reuso,1,$B$2))*INDEX(costo_analisis,1,$B$2)*sens_costo_analisis</f>
        <v>8280.384</v>
      </c>
      <c r="E53" s="0" t="n">
        <f aca="false">E7*MIN(INDEX(analisis_por_ua_mes,1,$B$2),tope_mensual)*meses_anio*(1-INDEX(tasa_reuso,1,$B$2))*INDEX(costo_analisis,1,$B$2)*sens_costo_analisis</f>
        <v>20700.96</v>
      </c>
      <c r="F53" s="0" t="n">
        <f aca="false">F7*MIN(INDEX(analisis_por_ua_mes,1,$B$2),tope_mensual)*meses_anio*(1-INDEX(tasa_reuso,1,$B$2))*INDEX(costo_analisis,1,$B$2)*sens_costo_analisis</f>
        <v>41401.92</v>
      </c>
      <c r="G53" s="0" t="n">
        <f aca="false">G7*MIN(INDEX(analisis_por_ua_mes,1,$B$2),tope_mensual)*meses_anio*(1-INDEX(tasa_reuso,1,$B$2))*INDEX(costo_analisis,1,$B$2)*sens_costo_analisis</f>
        <v>62102.88</v>
      </c>
    </row>
    <row r="54" customFormat="false" ht="15" hidden="false" customHeight="false" outlineLevel="0" collapsed="false">
      <c r="A54" s="0" t="s">
        <v>318</v>
      </c>
      <c r="C54" s="0" t="n">
        <f aca="false">((C19+C24)*INDEX(consultas_pro_mes,1,$B$2)+(C14+C34)*INDEX(consultas_ent_mes,1,$B$2))*meses_anio*(1-INDEX(tasa_reuso,1,$B$2))*INDEX(costo_analisis,1,$B$2)*sens_costo_analisis</f>
        <v>0</v>
      </c>
      <c r="D54" s="0" t="n">
        <f aca="false">((D19+D24)*INDEX(consultas_pro_mes,1,$B$2)+(D14+D34)*INDEX(consultas_ent_mes,1,$B$2))*meses_anio*(1-INDEX(tasa_reuso,1,$B$2))*INDEX(costo_analisis,1,$B$2)*sens_costo_analisis</f>
        <v>14904.6912</v>
      </c>
      <c r="E54" s="0" t="n">
        <f aca="false">((E19+E24)*INDEX(consultas_pro_mes,1,$B$2)+(E14+E34)*INDEX(consultas_ent_mes,1,$B$2))*meses_anio*(1-INDEX(tasa_reuso,1,$B$2))*INDEX(costo_analisis,1,$B$2)*sens_costo_analisis</f>
        <v>43886.0352</v>
      </c>
      <c r="F54" s="0" t="n">
        <f aca="false">((F19+F24)*INDEX(consultas_pro_mes,1,$B$2)+(F14+F34)*INDEX(consultas_ent_mes,1,$B$2))*meses_anio*(1-INDEX(tasa_reuso,1,$B$2))*INDEX(costo_analisis,1,$B$2)*sens_costo_analisis</f>
        <v>67071.1104</v>
      </c>
      <c r="G54" s="0" t="n">
        <f aca="false">((G19+G24)*INDEX(consultas_pro_mes,1,$B$2)+(G14+G34)*INDEX(consultas_ent_mes,1,$B$2))*meses_anio*(1-INDEX(tasa_reuso,1,$B$2))*INDEX(costo_analisis,1,$B$2)*sens_costo_analisis</f>
        <v>85287.9552</v>
      </c>
    </row>
    <row r="55" customFormat="false" ht="15" hidden="false" customHeight="false" outlineLevel="0" collapsed="false">
      <c r="A55" s="0" t="s">
        <v>319</v>
      </c>
      <c r="B55" s="0" t="n">
        <f aca="false">SUM(B48:B54)</f>
        <v>1741</v>
      </c>
      <c r="C55" s="0" t="n">
        <f aca="false">SUM(C48:C54)</f>
        <v>37746.106</v>
      </c>
      <c r="D55" s="0" t="n">
        <f aca="false">SUM(D48:D54)</f>
        <v>62472.3957</v>
      </c>
      <c r="E55" s="0" t="n">
        <f aca="false">SUM(E48:E54)</f>
        <v>111751.791725</v>
      </c>
      <c r="F55" s="0" t="n">
        <f aca="false">SUM(F48:F54)</f>
        <v>159574.91675125</v>
      </c>
      <c r="G55" s="0" t="n">
        <f aca="false">SUM(G48:G54)</f>
        <v>202514.665868813</v>
      </c>
    </row>
    <row r="57" customFormat="false" ht="15" hidden="false" customHeight="false" outlineLevel="0" collapsed="false">
      <c r="A57" s="1" t="s">
        <v>320</v>
      </c>
    </row>
    <row r="58" customFormat="false" ht="15" hidden="false" customHeight="false" outlineLevel="0" collapsed="false">
      <c r="A58" s="0" t="s">
        <v>321</v>
      </c>
      <c r="B58" s="0" t="n">
        <f aca="false">B45-B55</f>
        <v>-1741</v>
      </c>
      <c r="C58" s="0" t="n">
        <f aca="false">C45-C55</f>
        <v>-37746.106</v>
      </c>
      <c r="D58" s="0" t="n">
        <f aca="false">D45-D55</f>
        <v>-4872.3957</v>
      </c>
      <c r="E58" s="0" t="n">
        <f aca="false">E45-E55</f>
        <v>98048.208275</v>
      </c>
      <c r="F58" s="0" t="n">
        <f aca="false">F45-F55</f>
        <v>100225.08324875</v>
      </c>
      <c r="G58" s="0" t="n">
        <f aca="false">G45-G55</f>
        <v>166885.334131188</v>
      </c>
    </row>
    <row r="59" customFormat="false" ht="15" hidden="false" customHeight="false" outlineLevel="0" collapsed="false">
      <c r="A59" s="0" t="s">
        <v>322</v>
      </c>
      <c r="B59" s="0" t="n">
        <f aca="false">MIN(0,B58)</f>
        <v>-1741</v>
      </c>
      <c r="C59" s="0" t="n">
        <f aca="false">MIN(0,B59+C58)</f>
        <v>-39487.106</v>
      </c>
      <c r="D59" s="0" t="n">
        <f aca="false">MIN(0,C59+D58)</f>
        <v>-44359.5017</v>
      </c>
      <c r="E59" s="0" t="n">
        <f aca="false">MIN(0,D59+E58)</f>
        <v>0</v>
      </c>
      <c r="F59" s="0" t="n">
        <f aca="false">MIN(0,E59+F58)</f>
        <v>0</v>
      </c>
      <c r="G59" s="0" t="n">
        <f aca="false">MIN(0,F59+G58)</f>
        <v>0</v>
      </c>
    </row>
    <row r="60" customFormat="false" ht="15" hidden="false" customHeight="false" outlineLevel="0" collapsed="false">
      <c r="A60" s="0" t="s">
        <v>323</v>
      </c>
      <c r="B60" s="0" t="n">
        <f aca="false">alicuota_ganancias*MAX(0,B58)</f>
        <v>0</v>
      </c>
      <c r="C60" s="0" t="n">
        <f aca="false">alicuota_ganancias*MAX(0,B59+C58)</f>
        <v>0</v>
      </c>
      <c r="D60" s="0" t="n">
        <f aca="false">alicuota_ganancias*MAX(0,C59+D58)</f>
        <v>0</v>
      </c>
      <c r="E60" s="0" t="n">
        <f aca="false">alicuota_ganancias*MAX(0,D59+E58)</f>
        <v>18791.04730125</v>
      </c>
      <c r="F60" s="0" t="n">
        <f aca="false">alicuota_ganancias*MAX(0,E59+F58)</f>
        <v>35078.7791370625</v>
      </c>
      <c r="G60" s="0" t="n">
        <f aca="false">alicuota_ganancias*MAX(0,F59+G58)</f>
        <v>58409.8669459156</v>
      </c>
    </row>
    <row r="61" customFormat="false" ht="15" hidden="false" customHeight="false" outlineLevel="0" collapsed="false">
      <c r="A61" s="0" t="s">
        <v>324</v>
      </c>
      <c r="B61" s="0" t="n">
        <f aca="false">meses_cobro/meses_anio*B45</f>
        <v>0</v>
      </c>
      <c r="C61" s="0" t="n">
        <f aca="false">meses_cobro/meses_anio*C45</f>
        <v>0</v>
      </c>
      <c r="D61" s="0" t="n">
        <f aca="false">meses_cobro/meses_anio*D45</f>
        <v>9600</v>
      </c>
      <c r="E61" s="0" t="n">
        <f aca="false">meses_cobro/meses_anio*E45</f>
        <v>34966.6666666667</v>
      </c>
      <c r="F61" s="0" t="n">
        <f aca="false">meses_cobro/meses_anio*F45</f>
        <v>43300</v>
      </c>
      <c r="G61" s="0" t="n">
        <f aca="false">meses_cobro/meses_anio*G45</f>
        <v>61566.6666666667</v>
      </c>
    </row>
    <row r="62" customFormat="false" ht="15" hidden="false" customHeight="false" outlineLevel="0" collapsed="false">
      <c r="A62" s="0" t="s">
        <v>325</v>
      </c>
      <c r="B62" s="0" t="n">
        <f aca="false">B61</f>
        <v>0</v>
      </c>
      <c r="C62" s="0" t="n">
        <f aca="false">C61-B61</f>
        <v>0</v>
      </c>
      <c r="D62" s="0" t="n">
        <f aca="false">D61-C61</f>
        <v>9600</v>
      </c>
      <c r="E62" s="0" t="n">
        <f aca="false">E61-D61</f>
        <v>25366.6666666667</v>
      </c>
      <c r="F62" s="0" t="n">
        <f aca="false">F61-E61</f>
        <v>8333.33333333334</v>
      </c>
      <c r="G62" s="0" t="n">
        <f aca="false">G61-F61</f>
        <v>18266.6666666667</v>
      </c>
    </row>
    <row r="63" customFormat="false" ht="15" hidden="false" customHeight="false" outlineLevel="0" collapsed="false">
      <c r="A63" s="0" t="s">
        <v>326</v>
      </c>
      <c r="G63" s="0" t="n">
        <f aca="false">G61</f>
        <v>61566.6666666667</v>
      </c>
    </row>
    <row r="65" customFormat="false" ht="15" hidden="false" customHeight="false" outlineLevel="0" collapsed="false">
      <c r="A65" s="1" t="s">
        <v>327</v>
      </c>
    </row>
    <row r="66" customFormat="false" ht="15" hidden="false" customHeight="false" outlineLevel="0" collapsed="false">
      <c r="A66" s="0" t="s">
        <v>328</v>
      </c>
      <c r="B66" s="0" t="n">
        <f aca="false">B58-B60-B62+N(B63)</f>
        <v>-1741</v>
      </c>
      <c r="C66" s="0" t="n">
        <f aca="false">C58-C60-C62+N(C63)</f>
        <v>-37746.106</v>
      </c>
      <c r="D66" s="0" t="n">
        <f aca="false">D58-D60-D62+N(D63)</f>
        <v>-14472.3957</v>
      </c>
      <c r="E66" s="0" t="n">
        <f aca="false">E58-E60-E62+N(E63)</f>
        <v>53890.4943070833</v>
      </c>
      <c r="F66" s="0" t="n">
        <f aca="false">F58-F60-F62+N(F63)</f>
        <v>56812.9707783542</v>
      </c>
      <c r="G66" s="0" t="n">
        <f aca="false">G58-G60-G62+N(G63)</f>
        <v>151775.467185272</v>
      </c>
    </row>
    <row r="67" customFormat="false" ht="15" hidden="false" customHeight="false" outlineLevel="0" collapsed="false">
      <c r="A67" s="0" t="s">
        <v>329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330</v>
      </c>
      <c r="B68" s="0" t="n">
        <f aca="false">B66*B67</f>
        <v>-1741</v>
      </c>
      <c r="C68" s="0" t="n">
        <f aca="false">C66*C67</f>
        <v>-30196.8848</v>
      </c>
      <c r="D68" s="0" t="n">
        <f aca="false">D66*D67</f>
        <v>-9262.333248</v>
      </c>
      <c r="E68" s="0" t="n">
        <f aca="false">E66*E67</f>
        <v>27591.9330852267</v>
      </c>
      <c r="F68" s="0" t="n">
        <f aca="false">F66*F67</f>
        <v>23270.5928308139</v>
      </c>
      <c r="G68" s="0" t="n">
        <f aca="false">G66*G67</f>
        <v>49733.7850872699</v>
      </c>
    </row>
    <row r="69" customFormat="false" ht="15" hidden="false" customHeight="false" outlineLevel="0" collapsed="false">
      <c r="A69" s="0" t="s">
        <v>331</v>
      </c>
      <c r="B69" s="0" t="n">
        <f aca="false">B66</f>
        <v>-1741</v>
      </c>
      <c r="C69" s="0" t="n">
        <f aca="false">B69+C66</f>
        <v>-39487.106</v>
      </c>
      <c r="D69" s="0" t="n">
        <f aca="false">C69+D66</f>
        <v>-53959.5017</v>
      </c>
      <c r="E69" s="0" t="n">
        <f aca="false">D69+E66</f>
        <v>-69.0073929166683</v>
      </c>
      <c r="F69" s="0" t="n">
        <f aca="false">E69+F66</f>
        <v>56743.9633854375</v>
      </c>
      <c r="G69" s="0" t="n">
        <f aca="false">F69+G66</f>
        <v>208519.430570709</v>
      </c>
    </row>
    <row r="70" customFormat="false" ht="15" hidden="false" customHeight="false" outlineLevel="0" collapsed="false">
      <c r="A70" s="0" t="s">
        <v>332</v>
      </c>
      <c r="B70" s="0" t="n">
        <f aca="false">B68</f>
        <v>-1741</v>
      </c>
      <c r="C70" s="0" t="n">
        <f aca="false">B70+C68</f>
        <v>-31937.8848</v>
      </c>
      <c r="D70" s="0" t="n">
        <f aca="false">C70+D68</f>
        <v>-41200.218048</v>
      </c>
      <c r="E70" s="0" t="n">
        <f aca="false">D70+E68</f>
        <v>-13608.2849627733</v>
      </c>
      <c r="F70" s="0" t="n">
        <f aca="false">E70+F68</f>
        <v>9662.30786804053</v>
      </c>
      <c r="G70" s="0" t="n">
        <f aca="false">F70+G68</f>
        <v>59396.0929553104</v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IF(AND(B69&lt;0,C69&gt;=0),C$3-1+(-B69)/C66,"")</f>
        <v/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n">
        <f aca="false">IF(AND(E69&lt;0,F69&gt;=0),F$3-1+(-E69)/F66,"")</f>
        <v>3.00121464151533</v>
      </c>
      <c r="G71" s="0" t="str">
        <f aca="false">IF(AND(F69&lt;0,G69&gt;=0),G$3-1+(-F69)/G66,"")</f>
        <v/>
      </c>
    </row>
    <row r="72" customFormat="false" ht="15" hidden="false" customHeight="false" outlineLevel="0" collapsed="false">
      <c r="A72" s="0" t="s">
        <v>334</v>
      </c>
      <c r="C72" s="0" t="str">
        <f aca="false">IF(AND(B70&lt;0,C70&gt;=0),C$3-1+(-B70)/C68,"")</f>
        <v/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n">
        <f aca="false">IF(AND(E70&lt;0,F70&gt;=0),F$3-1+(-E70)/F68,"")</f>
        <v>3.5847846276075</v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335</v>
      </c>
    </row>
    <row r="75" customFormat="false" ht="15" hidden="false" customHeight="false" outlineLevel="0" collapsed="false">
      <c r="A75" s="0" t="s">
        <v>255</v>
      </c>
      <c r="B75" s="0" t="n">
        <f aca="false">SUM(B68:G68)</f>
        <v>59396.0929553104</v>
      </c>
    </row>
    <row r="76" customFormat="false" ht="15" hidden="false" customHeight="false" outlineLevel="0" collapsed="false">
      <c r="A76" s="0" t="s">
        <v>256</v>
      </c>
      <c r="B76" s="2" t="n">
        <f aca="false">IFERROR(IRR(B66:G66),"no definida")</f>
        <v>0.689916456530632</v>
      </c>
    </row>
    <row r="77" customFormat="false" ht="15" hidden="false" customHeight="false" outlineLevel="0" collapsed="false">
      <c r="A77" s="0" t="s">
        <v>257</v>
      </c>
      <c r="B77" s="0" t="n">
        <f aca="false">IF(COUNT(C71:G71)=0,"no se recupera",MIN(C71:G71))</f>
        <v>3.00121464151533</v>
      </c>
    </row>
    <row r="78" customFormat="false" ht="15" hidden="false" customHeight="false" outlineLevel="0" collapsed="false">
      <c r="A78" s="0" t="s">
        <v>258</v>
      </c>
      <c r="B78" s="0" t="n">
        <f aca="false">IF(COUNT(C72:G72)=0,"no se recupera",MIN(C72:G72))</f>
        <v>3.5847846276075</v>
      </c>
    </row>
    <row r="79" customFormat="false" ht="15" hidden="false" customHeight="false" outlineLevel="0" collapsed="false">
      <c r="A79" s="0" t="s">
        <v>261</v>
      </c>
      <c r="B79" s="0" t="n">
        <f aca="false">SUM(B68:G68)+MAX(0,G66-G63)*(1+crecimiento_perpetuo)/(tasa_descuento-crecimiento_perpetuo)/(1+tasa_descuento)^5</f>
        <v>190486.580559725</v>
      </c>
    </row>
    <row r="80" customFormat="false" ht="15" hidden="false" customHeight="false" outlineLevel="0" collapsed="false">
      <c r="A80" s="0" t="s">
        <v>260</v>
      </c>
      <c r="B80" s="0" t="n">
        <f aca="false">IFERROR(G45/G36,"no definido")</f>
        <v>8901.20481927711</v>
      </c>
    </row>
    <row r="81" customFormat="false" ht="15" hidden="false" customHeight="false" outlineLevel="0" collapsed="false">
      <c r="A81" s="0" t="s">
        <v>259</v>
      </c>
      <c r="B81" s="0" t="n">
        <f aca="false">IFERROR(ROUNDUP(G55/B80,0),"no definido")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337</v>
      </c>
    </row>
    <row r="2" customFormat="false" ht="15" hidden="false" customHeight="false" outlineLevel="0" collapsed="false">
      <c r="A2" s="0" t="s">
        <v>270</v>
      </c>
      <c r="B2" s="0" t="n">
        <v>3</v>
      </c>
    </row>
    <row r="3" customFormat="false" ht="15" hidden="false" customHeight="false" outlineLevel="0" collapsed="false">
      <c r="A3" s="0" t="s">
        <v>271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272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273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274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0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275</v>
      </c>
      <c r="C7" s="0" t="n">
        <f aca="false">INDEX(usuarios_activos,C$3,$B$2)</f>
        <v>500</v>
      </c>
      <c r="D7" s="0" t="n">
        <f aca="false">INDEX(usuarios_activos,D$3,$B$2)</f>
        <v>2000</v>
      </c>
      <c r="E7" s="0" t="n">
        <f aca="false">INDEX(usuarios_activos,E$3,$B$2)</f>
        <v>5000</v>
      </c>
      <c r="F7" s="0" t="n">
        <f aca="false">INDEX(usuarios_activos,F$3,$B$2)</f>
        <v>8000</v>
      </c>
      <c r="G7" s="0" t="n">
        <f aca="false">INDEX(usuarios_activos,G$3,$B$2)</f>
        <v>10000</v>
      </c>
    </row>
    <row r="9" customFormat="false" ht="15" hidden="false" customHeight="false" outlineLevel="0" collapsed="false">
      <c r="A9" s="1" t="s">
        <v>183</v>
      </c>
    </row>
    <row r="10" customFormat="false" ht="15" hidden="false" customHeight="false" outlineLevel="0" collapsed="false">
      <c r="A10" s="0" t="s">
        <v>276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277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278</v>
      </c>
      <c r="C12" s="0" t="n">
        <f aca="false">C6*ROUND(INDEX(capt_medios_grandes,1,$B$2)*sens_captacion*(u_medios_grandes-C10),0)</f>
        <v>0</v>
      </c>
      <c r="D12" s="0" t="n">
        <f aca="false">D6*ROUND(INDEX(capt_medios_grandes,1,$B$2)*sens_captacion*(u_medios_grandes-D10),0)</f>
        <v>0</v>
      </c>
      <c r="E12" s="0" t="n">
        <f aca="false">E6*ROUND(INDEX(capt_medios_grandes,1,$B$2)*sens_captacion*(u_medios_grandes-E10),0)</f>
        <v>1</v>
      </c>
      <c r="F12" s="0" t="n">
        <f aca="false">F6*ROUND(INDEX(capt_medios_grandes,1,$B$2)*sens_captacion*(u_medios_grandes-F10),0)</f>
        <v>0</v>
      </c>
      <c r="G12" s="0" t="n">
        <f aca="false">G6*ROUND(INDEX(capt_medios_grandes,1,$B$2)*sens_captacion*(u_medios_grandes-G10),0)</f>
        <v>0</v>
      </c>
    </row>
    <row r="13" customFormat="false" ht="15" hidden="false" customHeight="false" outlineLevel="0" collapsed="false">
      <c r="A13" s="0" t="s">
        <v>279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280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281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282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283</v>
      </c>
      <c r="C17" s="0" t="n">
        <f aca="false">C6*ROUND(INDEX(capt_medios_chicos,1,$B$2)*sens_captacion*(u_medios_chicos-C15),0)</f>
        <v>0</v>
      </c>
      <c r="D17" s="0" t="n">
        <f aca="false">D6*ROUND(INDEX(capt_medios_chicos,1,$B$2)*sens_captacion*(u_medios_chicos-D15),0)</f>
        <v>0</v>
      </c>
      <c r="E17" s="0" t="n">
        <f aca="false">E6*ROUND(INDEX(capt_medios_chicos,1,$B$2)*sens_captacion*(u_medios_chicos-E15),0)</f>
        <v>2</v>
      </c>
      <c r="F17" s="0" t="n">
        <f aca="false">F6*ROUND(INDEX(capt_medios_chicos,1,$B$2)*sens_captacion*(u_medios_chicos-F15),0)</f>
        <v>2</v>
      </c>
      <c r="G17" s="0" t="n">
        <f aca="false">G6*ROUND(INDEX(capt_medios_chicos,1,$B$2)*sens_captacion*(u_medios_chicos-G15),0)</f>
        <v>2</v>
      </c>
    </row>
    <row r="18" customFormat="false" ht="15" hidden="false" customHeight="false" outlineLevel="0" collapsed="false">
      <c r="A18" s="0" t="s">
        <v>284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285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286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287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288</v>
      </c>
      <c r="C22" s="0" t="n">
        <f aca="false">C6*ROUND(INDEX(capt_verificadores,1,$B$2)*sens_captacion*(u_verificadores-C20),0)</f>
        <v>0</v>
      </c>
      <c r="D22" s="0" t="n">
        <f aca="false">D6*ROUND(INDEX(capt_verificadores,1,$B$2)*sens_captacion*(u_verificadores-D20),0)</f>
        <v>0</v>
      </c>
      <c r="E22" s="0" t="n">
        <f aca="false">E6*ROUND(INDEX(capt_verificadores,1,$B$2)*sens_captacion*(u_verificadores-E20),0)</f>
        <v>1</v>
      </c>
      <c r="F22" s="0" t="n">
        <f aca="false">F6*ROUND(INDEX(capt_verificadores,1,$B$2)*sens_captacion*(u_verificadores-F20),0)</f>
        <v>0</v>
      </c>
      <c r="G22" s="0" t="n">
        <f aca="false">G6*ROUND(INDEX(capt_verificadores,1,$B$2)*sens_captacion*(u_verificadores-G20),0)</f>
        <v>0</v>
      </c>
    </row>
    <row r="23" customFormat="false" ht="15" hidden="false" customHeight="false" outlineLevel="0" collapsed="false">
      <c r="A23" s="0" t="s">
        <v>289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290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291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292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293</v>
      </c>
      <c r="C27" s="0" t="n">
        <f aca="false">C6*ROUND(INDEX(capt_universidades,1,$B$2)*sens_captacion*(u_universidades-C25),0)</f>
        <v>0</v>
      </c>
      <c r="D27" s="0" t="n">
        <f aca="false">D6*ROUND(INDEX(capt_universidades,1,$B$2)*sens_captacion*(u_universidades-D25),0)</f>
        <v>0</v>
      </c>
      <c r="E27" s="0" t="n">
        <f aca="false">E6*ROUND(INDEX(capt_universidades,1,$B$2)*sens_captacion*(u_universidades-E25),0)</f>
        <v>3</v>
      </c>
      <c r="F27" s="0" t="n">
        <f aca="false">F6*ROUND(INDEX(capt_universidades,1,$B$2)*sens_captacion*(u_universidades-F25),0)</f>
        <v>3</v>
      </c>
      <c r="G27" s="0" t="n">
        <f aca="false">G6*ROUND(INDEX(capt_universidades,1,$B$2)*sens_captacion*(u_universidades-G25),0)</f>
        <v>3</v>
      </c>
    </row>
    <row r="28" customFormat="false" ht="15" hidden="false" customHeight="false" outlineLevel="0" collapsed="false">
      <c r="A28" s="0" t="s">
        <v>294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295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296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297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298</v>
      </c>
      <c r="C32" s="0" t="n">
        <f aca="false">C6*ROUND(INDEX(capt_agencias,1,$B$2)*sens_captacion*(u_agencias-C30),0)</f>
        <v>0</v>
      </c>
      <c r="D32" s="0" t="n">
        <f aca="false">D6*ROUND(INDEX(capt_agencias,1,$B$2)*sens_captacion*(u_agencias-D30),0)</f>
        <v>0</v>
      </c>
      <c r="E32" s="0" t="n">
        <f aca="false">E6*ROUND(INDEX(capt_agencias,1,$B$2)*sens_captacion*(u_agencias-E30),0)</f>
        <v>1</v>
      </c>
      <c r="F32" s="0" t="n">
        <f aca="false">F6*ROUND(INDEX(capt_agencias,1,$B$2)*sens_captacion*(u_agencias-F30),0)</f>
        <v>1</v>
      </c>
      <c r="G32" s="0" t="n">
        <f aca="false">G6*ROUND(INDEX(capt_agencias,1,$B$2)*sens_captacion*(u_agencias-G30),0)</f>
        <v>1</v>
      </c>
    </row>
    <row r="33" customFormat="false" ht="15" hidden="false" customHeight="false" outlineLevel="0" collapsed="false">
      <c r="A33" s="0" t="s">
        <v>299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300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301</v>
      </c>
      <c r="C35" s="0" t="n">
        <f aca="false">C5*C6*ROUND(INDEX(capt_organismos,1,$B$2)*sens_captacion*u_organismos,0)</f>
        <v>0</v>
      </c>
      <c r="D35" s="0" t="n">
        <f aca="false">D5*D6*ROUND(INDEX(capt_organismos,1,$B$2)*sens_captacion*u_organismos,0)</f>
        <v>0</v>
      </c>
      <c r="E35" s="0" t="n">
        <f aca="false">E5*E6*ROUND(INDEX(capt_organismos,1,$B$2)*sens_captacion*u_organismos,0)</f>
        <v>1</v>
      </c>
      <c r="F35" s="0" t="n">
        <f aca="false">F5*F6*ROUND(INDEX(capt_organismos,1,$B$2)*sens_captacion*u_organismos,0)</f>
        <v>0</v>
      </c>
      <c r="G35" s="0" t="n">
        <f aca="false">G5*G6*ROUND(INDEX(capt_organismos,1,$B$2)*sens_captacion*u_organismos,0)</f>
        <v>1</v>
      </c>
    </row>
    <row r="36" customFormat="false" ht="15" hidden="false" customHeight="false" outlineLevel="0" collapsed="false">
      <c r="A36" s="0" t="s">
        <v>302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303</v>
      </c>
    </row>
    <row r="39" customFormat="false" ht="15" hidden="false" customHeight="false" outlineLevel="0" collapsed="false">
      <c r="A39" s="0" t="s">
        <v>304</v>
      </c>
      <c r="C39" s="0" t="n">
        <f aca="false">C14*INDEX(precio_medios_grandes,1,$B$2)*sens_precios*meses_anio</f>
        <v>0</v>
      </c>
      <c r="D39" s="0" t="n">
        <f aca="false">D14*INDEX(precio_medios_grandes,1,$B$2)*sens_precios*meses_anio</f>
        <v>0</v>
      </c>
      <c r="E39" s="0" t="n">
        <f aca="false">E14*INDEX(precio_medios_grandes,1,$B$2)*sens_precios*meses_anio</f>
        <v>9000</v>
      </c>
      <c r="F39" s="0" t="n">
        <f aca="false">F14*INDEX(precio_medios_grandes,1,$B$2)*sens_precios*meses_anio</f>
        <v>18000</v>
      </c>
      <c r="G39" s="0" t="n">
        <f aca="false">G14*INDEX(precio_medios_grandes,1,$B$2)*sens_precios*meses_anio</f>
        <v>18000</v>
      </c>
    </row>
    <row r="40" customFormat="false" ht="15" hidden="false" customHeight="false" outlineLevel="0" collapsed="false">
      <c r="A40" s="0" t="s">
        <v>305</v>
      </c>
      <c r="C40" s="0" t="n">
        <f aca="false">C19*precio_medios_chicos*sens_precios*meses_anio</f>
        <v>0</v>
      </c>
      <c r="D40" s="0" t="n">
        <f aca="false">D19*precio_medios_chicos*sens_precios*meses_anio</f>
        <v>0</v>
      </c>
      <c r="E40" s="0" t="n">
        <f aca="false">E19*precio_medios_chicos*sens_precios*meses_anio</f>
        <v>2400</v>
      </c>
      <c r="F40" s="0" t="n">
        <f aca="false">F19*precio_medios_chicos*sens_precios*meses_anio</f>
        <v>6000</v>
      </c>
      <c r="G40" s="0" t="n">
        <f aca="false">G19*precio_medios_chicos*sens_precios*meses_anio</f>
        <v>8400</v>
      </c>
    </row>
    <row r="41" customFormat="false" ht="15" hidden="false" customHeight="false" outlineLevel="0" collapsed="false">
      <c r="A41" s="0" t="s">
        <v>306</v>
      </c>
      <c r="C41" s="0" t="n">
        <f aca="false">C24*precio_verificadores*sens_precios*meses_anio</f>
        <v>0</v>
      </c>
      <c r="D41" s="0" t="n">
        <f aca="false">D24*precio_verificadores*sens_precios*meses_anio</f>
        <v>0</v>
      </c>
      <c r="E41" s="0" t="n">
        <f aca="false">E24*precio_verificadores*sens_precios*meses_anio</f>
        <v>3000</v>
      </c>
      <c r="F41" s="0" t="n">
        <f aca="false">F24*precio_verificadores*sens_precios*meses_anio</f>
        <v>6000</v>
      </c>
      <c r="G41" s="0" t="n">
        <f aca="false">G24*precio_verificadores*sens_precios*meses_anio</f>
        <v>6000</v>
      </c>
    </row>
    <row r="42" customFormat="false" ht="15" hidden="false" customHeight="false" outlineLevel="0" collapsed="false">
      <c r="A42" s="0" t="s">
        <v>307</v>
      </c>
      <c r="C42" s="0" t="n">
        <f aca="false">C29*precio_universidades*sens_precios*meses_anio</f>
        <v>0</v>
      </c>
      <c r="D42" s="0" t="n">
        <f aca="false">D29*precio_universidades*sens_precios*meses_anio</f>
        <v>0</v>
      </c>
      <c r="E42" s="0" t="n">
        <f aca="false">E29*precio_universidades*sens_precios*meses_anio</f>
        <v>1800</v>
      </c>
      <c r="F42" s="0" t="n">
        <f aca="false">F29*precio_universidades*sens_precios*meses_anio</f>
        <v>5400</v>
      </c>
      <c r="G42" s="0" t="n">
        <f aca="false">G29*precio_universidades*sens_precios*meses_anio</f>
        <v>8400</v>
      </c>
    </row>
    <row r="43" customFormat="false" ht="15" hidden="false" customHeight="false" outlineLevel="0" collapsed="false">
      <c r="A43" s="0" t="s">
        <v>308</v>
      </c>
      <c r="C43" s="0" t="n">
        <f aca="false">C34*INDEX(precio_agencias,1,$B$2)*sens_precios*meses_anio</f>
        <v>0</v>
      </c>
      <c r="D43" s="0" t="n">
        <f aca="false">D34*INDEX(precio_agencias,1,$B$2)*sens_precios*meses_anio</f>
        <v>0</v>
      </c>
      <c r="E43" s="0" t="n">
        <f aca="false">E34*INDEX(precio_agencias,1,$B$2)*sens_precios*meses_anio</f>
        <v>9000</v>
      </c>
      <c r="F43" s="0" t="n">
        <f aca="false">F34*INDEX(precio_agencias,1,$B$2)*sens_precios*meses_anio</f>
        <v>27000</v>
      </c>
      <c r="G43" s="0" t="n">
        <f aca="false">G34*INDEX(precio_agencias,1,$B$2)*sens_precios*meses_anio</f>
        <v>36000</v>
      </c>
    </row>
    <row r="44" customFormat="false" ht="15" hidden="false" customHeight="false" outlineLevel="0" collapsed="false">
      <c r="A44" s="0" t="s">
        <v>309</v>
      </c>
      <c r="C44" s="0" t="n">
        <f aca="false">C35*INDEX(precio_organismos,1,$B$2)*sens_precios</f>
        <v>0</v>
      </c>
      <c r="D44" s="0" t="n">
        <f aca="false">D35*INDEX(precio_organismos,1,$B$2)*sens_precios</f>
        <v>0</v>
      </c>
      <c r="E44" s="0" t="n">
        <f aca="false">E35*INDEX(precio_organismos,1,$B$2)*sens_precios</f>
        <v>10000</v>
      </c>
      <c r="F44" s="0" t="n">
        <f aca="false">F35*INDEX(precio_organismos,1,$B$2)*sens_precios</f>
        <v>0</v>
      </c>
      <c r="G44" s="0" t="n">
        <f aca="false">G35*INDEX(precio_organismos,1,$B$2)*sens_precios</f>
        <v>10000</v>
      </c>
    </row>
    <row r="45" customFormat="false" ht="15" hidden="false" customHeight="false" outlineLevel="0" collapsed="false">
      <c r="A45" s="0" t="s">
        <v>310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311</v>
      </c>
    </row>
    <row r="48" customFormat="false" ht="15" hidden="false" customHeight="false" outlineLevel="0" collapsed="false">
      <c r="A48" s="0" t="s">
        <v>312</v>
      </c>
      <c r="C48" s="0" t="n">
        <f aca="false">sueldo_usd*sueldos_por_anio*(1+cargas_sociales)*(1+ajuste_sueldo)^C$3</f>
        <v>30786.21</v>
      </c>
      <c r="D48" s="0" t="n">
        <f aca="false">sueldo_usd*sueldos_por_anio*(1+cargas_sociales)*(1+ajuste_sueldo)^D$3</f>
        <v>32325.5205</v>
      </c>
      <c r="E48" s="0" t="n">
        <f aca="false">sueldo_usd*sueldos_por_anio*(1+cargas_sociales)*(1+ajuste_sueldo)^E$3</f>
        <v>33941.796525</v>
      </c>
      <c r="F48" s="0" t="n">
        <f aca="false">sueldo_usd*sueldos_por_anio*(1+cargas_sociales)*(1+ajuste_sueldo)^F$3</f>
        <v>35638.88635125</v>
      </c>
      <c r="G48" s="0" t="n">
        <f aca="false">sueldo_usd*sueldos_por_anio*(1+cargas_sociales)*(1+ajuste_sueldo)^G$3</f>
        <v>37420.8306688125</v>
      </c>
    </row>
    <row r="49" customFormat="false" ht="15" hidden="false" customHeight="false" outlineLevel="0" collapsed="false">
      <c r="A49" s="0" t="s">
        <v>313</v>
      </c>
      <c r="B49" s="0" t="n">
        <f aca="false">inv_infraestructura_0</f>
        <v>168</v>
      </c>
      <c r="C49" s="0" t="n">
        <f aca="false">meses_anio*(infra_base+infra_escalado*C7/ua_escalado)+dominio_anual</f>
        <v>609</v>
      </c>
      <c r="D49" s="0" t="n">
        <f aca="false">meses_anio*(infra_base+infra_escalado*D7/ua_escalado)+dominio_anual</f>
        <v>627</v>
      </c>
      <c r="E49" s="0" t="n">
        <f aca="false">meses_anio*(infra_base+infra_escalado*E7/ua_escalado)+dominio_anual</f>
        <v>663</v>
      </c>
      <c r="F49" s="0" t="n">
        <f aca="false">meses_anio*(infra_base+infra_escalado*F7/ua_escalado)+dominio_anual</f>
        <v>699</v>
      </c>
      <c r="G49" s="0" t="n">
        <f aca="false">meses_anio*(infra_base+infra_escalado*G7/ua_escalado)+dominio_anual</f>
        <v>723</v>
      </c>
    </row>
    <row r="50" customFormat="false" ht="15" hidden="false" customHeight="false" outlineLevel="0" collapsed="false">
      <c r="A50" s="0" t="s">
        <v>314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262.8</v>
      </c>
      <c r="F50" s="0" t="n">
        <f aca="false">horas_anio*IF(INDEX(hosting_gpu_activo,F$3,$B$2)=1,hosting_gpu,hosting_cpu)</f>
        <v>262.8</v>
      </c>
      <c r="G50" s="0" t="n">
        <f aca="false">horas_anio*IF(INDEX(hosting_gpu_activo,G$3,$B$2)=1,hosting_gpu,hosting_cpu)</f>
        <v>262.8</v>
      </c>
    </row>
    <row r="51" customFormat="false" ht="15" hidden="false" customHeight="false" outlineLevel="0" collapsed="false">
      <c r="A51" s="0" t="s">
        <v>315</v>
      </c>
      <c r="C51" s="0" t="n">
        <f aca="false">INDEX(marketing,C$3,$B$2)</f>
        <v>2000</v>
      </c>
      <c r="D51" s="0" t="n">
        <f aca="false">INDEX(marketing,D$3,$B$2)</f>
        <v>3000</v>
      </c>
      <c r="E51" s="0" t="n">
        <f aca="false">INDEX(marketing,E$3,$B$2)</f>
        <v>4000</v>
      </c>
      <c r="F51" s="0" t="n">
        <f aca="false">INDEX(marketing,F$3,$B$2)</f>
        <v>5000</v>
      </c>
      <c r="G51" s="0" t="n">
        <f aca="false">INDEX(marketing,G$3,$B$2)</f>
        <v>6000</v>
      </c>
    </row>
    <row r="52" customFormat="false" ht="15" hidden="false" customHeight="false" outlineLevel="0" collapsed="false">
      <c r="A52" s="0" t="s">
        <v>316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317</v>
      </c>
      <c r="C53" s="0" t="n">
        <f aca="false">C7*MIN(INDEX(analisis_por_ua_mes,1,$B$2),tope_mensual)*meses_anio*(1-INDEX(tasa_reuso,1,$B$2))*INDEX(costo_analisis,1,$B$2)*sens_costo_analisis</f>
        <v>911.136</v>
      </c>
      <c r="D53" s="0" t="n">
        <f aca="false">D7*MIN(INDEX(analisis_por_ua_mes,1,$B$2),tope_mensual)*meses_anio*(1-INDEX(tasa_reuso,1,$B$2))*INDEX(costo_analisis,1,$B$2)*sens_costo_analisis</f>
        <v>3644.544</v>
      </c>
      <c r="E53" s="0" t="n">
        <f aca="false">E7*MIN(INDEX(analisis_por_ua_mes,1,$B$2),tope_mensual)*meses_anio*(1-INDEX(tasa_reuso,1,$B$2))*INDEX(costo_analisis,1,$B$2)*sens_costo_analisis</f>
        <v>9111.36</v>
      </c>
      <c r="F53" s="0" t="n">
        <f aca="false">F7*MIN(INDEX(analisis_por_ua_mes,1,$B$2),tope_mensual)*meses_anio*(1-INDEX(tasa_reuso,1,$B$2))*INDEX(costo_analisis,1,$B$2)*sens_costo_analisis</f>
        <v>14578.176</v>
      </c>
      <c r="G53" s="0" t="n">
        <f aca="false">G7*MIN(INDEX(analisis_por_ua_mes,1,$B$2),tope_mensual)*meses_anio*(1-INDEX(tasa_reuso,1,$B$2))*INDEX(costo_analisis,1,$B$2)*sens_costo_analisis</f>
        <v>18222.72</v>
      </c>
    </row>
    <row r="54" customFormat="false" ht="15" hidden="false" customHeight="false" outlineLevel="0" collapsed="false">
      <c r="A54" s="0" t="s">
        <v>318</v>
      </c>
      <c r="C54" s="0" t="n">
        <f aca="false">((C19+C24)*INDEX(consultas_pro_mes,1,$B$2)+(C14+C34)*INDEX(consultas_ent_mes,1,$B$2))*meses_anio*(1-INDEX(tasa_reuso,1,$B$2))*INDEX(costo_analisis,1,$B$2)*sens_costo_analisis</f>
        <v>0</v>
      </c>
      <c r="D54" s="0" t="n">
        <f aca="false">((D19+D24)*INDEX(consultas_pro_mes,1,$B$2)+(D14+D34)*INDEX(consultas_ent_mes,1,$B$2))*meses_anio*(1-INDEX(tasa_reuso,1,$B$2))*INDEX(costo_analisis,1,$B$2)*sens_costo_analisis</f>
        <v>0</v>
      </c>
      <c r="E54" s="0" t="n">
        <f aca="false">((E19+E24)*INDEX(consultas_pro_mes,1,$B$2)+(E14+E34)*INDEX(consultas_ent_mes,1,$B$2))*meses_anio*(1-INDEX(tasa_reuso,1,$B$2))*INDEX(costo_analisis,1,$B$2)*sens_costo_analisis</f>
        <v>33529.8048</v>
      </c>
      <c r="F54" s="0" t="n">
        <f aca="false">((F19+F24)*INDEX(consultas_pro_mes,1,$B$2)+(F14+F34)*INDEX(consultas_ent_mes,1,$B$2))*meses_anio*(1-INDEX(tasa_reuso,1,$B$2))*INDEX(costo_analisis,1,$B$2)*sens_costo_analisis</f>
        <v>83095.6032</v>
      </c>
      <c r="G54" s="0" t="n">
        <f aca="false">((G19+G24)*INDEX(consultas_pro_mes,1,$B$2)+(G14+G34)*INDEX(consultas_ent_mes,1,$B$2))*meses_anio*(1-INDEX(tasa_reuso,1,$B$2))*INDEX(costo_analisis,1,$B$2)*sens_costo_analisis</f>
        <v>100589.4144</v>
      </c>
    </row>
    <row r="55" customFormat="false" ht="15" hidden="false" customHeight="false" outlineLevel="0" collapsed="false">
      <c r="A55" s="0" t="s">
        <v>319</v>
      </c>
      <c r="B55" s="0" t="n">
        <f aca="false">SUM(B48:B54)</f>
        <v>1741</v>
      </c>
      <c r="C55" s="0" t="n">
        <f aca="false">SUM(C48:C54)</f>
        <v>34569.146</v>
      </c>
      <c r="D55" s="0" t="n">
        <f aca="false">SUM(D48:D54)</f>
        <v>39859.8645</v>
      </c>
      <c r="E55" s="0" t="n">
        <f aca="false">SUM(E48:E54)</f>
        <v>81508.761325</v>
      </c>
      <c r="F55" s="0" t="n">
        <f aca="false">SUM(F48:F54)</f>
        <v>139274.46555125</v>
      </c>
      <c r="G55" s="0" t="n">
        <f aca="false">SUM(G48:G54)</f>
        <v>163218.765068813</v>
      </c>
    </row>
    <row r="57" customFormat="false" ht="15" hidden="false" customHeight="false" outlineLevel="0" collapsed="false">
      <c r="A57" s="1" t="s">
        <v>320</v>
      </c>
    </row>
    <row r="58" customFormat="false" ht="15" hidden="false" customHeight="false" outlineLevel="0" collapsed="false">
      <c r="A58" s="0" t="s">
        <v>321</v>
      </c>
      <c r="B58" s="0" t="n">
        <f aca="false">B45-B55</f>
        <v>-1741</v>
      </c>
      <c r="C58" s="0" t="n">
        <f aca="false">C45-C55</f>
        <v>-34569.146</v>
      </c>
      <c r="D58" s="0" t="n">
        <f aca="false">D45-D55</f>
        <v>-39859.8645</v>
      </c>
      <c r="E58" s="0" t="n">
        <f aca="false">E45-E55</f>
        <v>-46308.761325</v>
      </c>
      <c r="F58" s="0" t="n">
        <f aca="false">F45-F55</f>
        <v>-76874.46555125</v>
      </c>
      <c r="G58" s="0" t="n">
        <f aca="false">G45-G55</f>
        <v>-76418.7650688125</v>
      </c>
    </row>
    <row r="59" customFormat="false" ht="15" hidden="false" customHeight="false" outlineLevel="0" collapsed="false">
      <c r="A59" s="0" t="s">
        <v>322</v>
      </c>
      <c r="B59" s="0" t="n">
        <f aca="false">MIN(0,B58)</f>
        <v>-1741</v>
      </c>
      <c r="C59" s="0" t="n">
        <f aca="false">MIN(0,B59+C58)</f>
        <v>-36310.146</v>
      </c>
      <c r="D59" s="0" t="n">
        <f aca="false">MIN(0,C59+D58)</f>
        <v>-76170.0105</v>
      </c>
      <c r="E59" s="0" t="n">
        <f aca="false">MIN(0,D59+E58)</f>
        <v>-122478.771825</v>
      </c>
      <c r="F59" s="0" t="n">
        <f aca="false">MIN(0,E59+F58)</f>
        <v>-199353.23737625</v>
      </c>
      <c r="G59" s="0" t="n">
        <f aca="false">MIN(0,F59+G58)</f>
        <v>-275772.002445063</v>
      </c>
    </row>
    <row r="60" customFormat="false" ht="15" hidden="false" customHeight="false" outlineLevel="0" collapsed="false">
      <c r="A60" s="0" t="s">
        <v>323</v>
      </c>
      <c r="B60" s="0" t="n">
        <f aca="false">alicuota_ganancias*MAX(0,B58)</f>
        <v>0</v>
      </c>
      <c r="C60" s="0" t="n">
        <f aca="false">alicuota_ganancias*MAX(0,B59+C58)</f>
        <v>0</v>
      </c>
      <c r="D60" s="0" t="n">
        <f aca="false">alicuota_ganancias*MAX(0,C59+D58)</f>
        <v>0</v>
      </c>
      <c r="E60" s="0" t="n">
        <f aca="false">alicuota_ganancias*MAX(0,D59+E58)</f>
        <v>0</v>
      </c>
      <c r="F60" s="0" t="n">
        <f aca="false">alicuota_ganancias*MAX(0,E59+F58)</f>
        <v>0</v>
      </c>
      <c r="G60" s="0" t="n">
        <f aca="false">alicuota_ganancias*MAX(0,F59+G58)</f>
        <v>0</v>
      </c>
    </row>
    <row r="61" customFormat="false" ht="15" hidden="false" customHeight="false" outlineLevel="0" collapsed="false">
      <c r="A61" s="0" t="s">
        <v>324</v>
      </c>
      <c r="B61" s="0" t="n">
        <f aca="false">meses_cobro/meses_anio*B45</f>
        <v>0</v>
      </c>
      <c r="C61" s="0" t="n">
        <f aca="false">meses_cobro/meses_anio*C45</f>
        <v>0</v>
      </c>
      <c r="D61" s="0" t="n">
        <f aca="false">meses_cobro/meses_anio*D45</f>
        <v>0</v>
      </c>
      <c r="E61" s="0" t="n">
        <f aca="false">meses_cobro/meses_anio*E45</f>
        <v>5866.66666666667</v>
      </c>
      <c r="F61" s="0" t="n">
        <f aca="false">meses_cobro/meses_anio*F45</f>
        <v>10400</v>
      </c>
      <c r="G61" s="0" t="n">
        <f aca="false">meses_cobro/meses_anio*G45</f>
        <v>14466.6666666667</v>
      </c>
    </row>
    <row r="62" customFormat="false" ht="15" hidden="false" customHeight="false" outlineLevel="0" collapsed="false">
      <c r="A62" s="0" t="s">
        <v>325</v>
      </c>
      <c r="B62" s="0" t="n">
        <f aca="false">B61</f>
        <v>0</v>
      </c>
      <c r="C62" s="0" t="n">
        <f aca="false">C61-B61</f>
        <v>0</v>
      </c>
      <c r="D62" s="0" t="n">
        <f aca="false">D61-C61</f>
        <v>0</v>
      </c>
      <c r="E62" s="0" t="n">
        <f aca="false">E61-D61</f>
        <v>5866.66666666667</v>
      </c>
      <c r="F62" s="0" t="n">
        <f aca="false">F61-E61</f>
        <v>4533.33333333333</v>
      </c>
      <c r="G62" s="0" t="n">
        <f aca="false">G61-F61</f>
        <v>4066.66666666667</v>
      </c>
    </row>
    <row r="63" customFormat="false" ht="15" hidden="false" customHeight="false" outlineLevel="0" collapsed="false">
      <c r="A63" s="0" t="s">
        <v>326</v>
      </c>
      <c r="G63" s="0" t="n">
        <f aca="false">G61</f>
        <v>14466.6666666667</v>
      </c>
    </row>
    <row r="65" customFormat="false" ht="15" hidden="false" customHeight="false" outlineLevel="0" collapsed="false">
      <c r="A65" s="1" t="s">
        <v>327</v>
      </c>
    </row>
    <row r="66" customFormat="false" ht="15" hidden="false" customHeight="false" outlineLevel="0" collapsed="false">
      <c r="A66" s="0" t="s">
        <v>328</v>
      </c>
      <c r="B66" s="0" t="n">
        <f aca="false">B58-B60-B62+N(B63)</f>
        <v>-1741</v>
      </c>
      <c r="C66" s="0" t="n">
        <f aca="false">C58-C60-C62+N(C63)</f>
        <v>-34569.146</v>
      </c>
      <c r="D66" s="0" t="n">
        <f aca="false">D58-D60-D62+N(D63)</f>
        <v>-39859.8645</v>
      </c>
      <c r="E66" s="0" t="n">
        <f aca="false">E58-E60-E62+N(E63)</f>
        <v>-52175.4279916667</v>
      </c>
      <c r="F66" s="0" t="n">
        <f aca="false">F58-F60-F62+N(F63)</f>
        <v>-81407.7988845833</v>
      </c>
      <c r="G66" s="0" t="n">
        <f aca="false">G58-G60-G62+N(G63)</f>
        <v>-66018.7650688125</v>
      </c>
    </row>
    <row r="67" customFormat="false" ht="15" hidden="false" customHeight="false" outlineLevel="0" collapsed="false">
      <c r="A67" s="0" t="s">
        <v>329</v>
      </c>
      <c r="B67" s="0" t="n">
        <f aca="false">1/(1+tasa_descuento)^B$3</f>
        <v>1</v>
      </c>
      <c r="C67" s="0" t="n">
        <f aca="false">1/(1+tasa_descuento)^C$3</f>
        <v>0.8</v>
      </c>
      <c r="D67" s="0" t="n">
        <f aca="false">1/(1+tasa_descuento)^D$3</f>
        <v>0.64</v>
      </c>
      <c r="E67" s="0" t="n">
        <f aca="false">1/(1+tasa_descuento)^E$3</f>
        <v>0.512</v>
      </c>
      <c r="F67" s="0" t="n">
        <f aca="false">1/(1+tasa_descuento)^F$3</f>
        <v>0.4096</v>
      </c>
      <c r="G67" s="0" t="n">
        <f aca="false">1/(1+tasa_descuento)^G$3</f>
        <v>0.32768</v>
      </c>
    </row>
    <row r="68" customFormat="false" ht="15" hidden="false" customHeight="false" outlineLevel="0" collapsed="false">
      <c r="A68" s="0" t="s">
        <v>330</v>
      </c>
      <c r="B68" s="0" t="n">
        <f aca="false">B66*B67</f>
        <v>-1741</v>
      </c>
      <c r="C68" s="0" t="n">
        <f aca="false">C66*C67</f>
        <v>-27655.3168</v>
      </c>
      <c r="D68" s="0" t="n">
        <f aca="false">D66*D67</f>
        <v>-25510.31328</v>
      </c>
      <c r="E68" s="0" t="n">
        <f aca="false">E66*E67</f>
        <v>-26713.8191317333</v>
      </c>
      <c r="F68" s="0" t="n">
        <f aca="false">F66*F67</f>
        <v>-33344.6344231253</v>
      </c>
      <c r="G68" s="0" t="n">
        <f aca="false">G66*G67</f>
        <v>-21633.0289377485</v>
      </c>
    </row>
    <row r="69" customFormat="false" ht="15" hidden="false" customHeight="false" outlineLevel="0" collapsed="false">
      <c r="A69" s="0" t="s">
        <v>331</v>
      </c>
      <c r="B69" s="0" t="n">
        <f aca="false">B66</f>
        <v>-1741</v>
      </c>
      <c r="C69" s="0" t="n">
        <f aca="false">B69+C66</f>
        <v>-36310.146</v>
      </c>
      <c r="D69" s="0" t="n">
        <f aca="false">C69+D66</f>
        <v>-76170.0105</v>
      </c>
      <c r="E69" s="0" t="n">
        <f aca="false">D69+E66</f>
        <v>-128345.438491667</v>
      </c>
      <c r="F69" s="0" t="n">
        <f aca="false">E69+F66</f>
        <v>-209753.23737625</v>
      </c>
      <c r="G69" s="0" t="n">
        <f aca="false">F69+G66</f>
        <v>-275772.002445063</v>
      </c>
    </row>
    <row r="70" customFormat="false" ht="15" hidden="false" customHeight="false" outlineLevel="0" collapsed="false">
      <c r="A70" s="0" t="s">
        <v>332</v>
      </c>
      <c r="B70" s="0" t="n">
        <f aca="false">B68</f>
        <v>-1741</v>
      </c>
      <c r="C70" s="0" t="n">
        <f aca="false">B70+C68</f>
        <v>-29396.3168</v>
      </c>
      <c r="D70" s="0" t="n">
        <f aca="false">C70+D68</f>
        <v>-54906.63008</v>
      </c>
      <c r="E70" s="0" t="n">
        <f aca="false">D70+E68</f>
        <v>-81620.4492117333</v>
      </c>
      <c r="F70" s="0" t="n">
        <f aca="false">E70+F68</f>
        <v>-114965.083634859</v>
      </c>
      <c r="G70" s="0" t="n">
        <f aca="false">F70+G68</f>
        <v>-136598.112572607</v>
      </c>
    </row>
    <row r="71" customFormat="false" ht="15" hidden="false" customHeight="false" outlineLevel="0" collapsed="false">
      <c r="A71" s="0" t="s">
        <v>333</v>
      </c>
      <c r="C71" s="0" t="str">
        <f aca="false">IF(AND(B69&lt;0,C69&gt;=0),C$3-1+(-B69)/C66,"")</f>
        <v/>
      </c>
      <c r="D71" s="0" t="str">
        <f aca="false">IF(AND(C69&lt;0,D69&gt;=0),D$3-1+(-C69)/D66,"")</f>
        <v/>
      </c>
      <c r="E71" s="0" t="str">
        <f aca="false">IF(AND(D69&lt;0,E69&gt;=0),E$3-1+(-D69)/E66,"")</f>
        <v/>
      </c>
      <c r="F71" s="0" t="str">
        <f aca="false">IF(AND(E69&lt;0,F69&gt;=0),F$3-1+(-E69)/F66,"")</f>
        <v/>
      </c>
      <c r="G71" s="0" t="str">
        <f aca="false">IF(AND(F69&lt;0,G69&gt;=0),G$3-1+(-F69)/G66,"")</f>
        <v/>
      </c>
    </row>
    <row r="72" customFormat="false" ht="15" hidden="false" customHeight="false" outlineLevel="0" collapsed="false">
      <c r="A72" s="0" t="s">
        <v>334</v>
      </c>
      <c r="C72" s="0" t="str">
        <f aca="false">IF(AND(B70&lt;0,C70&gt;=0),C$3-1+(-B70)/C68,"")</f>
        <v/>
      </c>
      <c r="D72" s="0" t="str">
        <f aca="false">IF(AND(C70&lt;0,D70&gt;=0),D$3-1+(-C70)/D68,"")</f>
        <v/>
      </c>
      <c r="E72" s="0" t="str">
        <f aca="false">IF(AND(D70&lt;0,E70&gt;=0),E$3-1+(-D70)/E68,"")</f>
        <v/>
      </c>
      <c r="F72" s="0" t="str">
        <f aca="false">IF(AND(E70&lt;0,F70&gt;=0),F$3-1+(-E70)/F68,"")</f>
        <v/>
      </c>
      <c r="G72" s="0" t="str">
        <f aca="false">IF(AND(F70&lt;0,G70&gt;=0),G$3-1+(-F70)/G68,"")</f>
        <v/>
      </c>
    </row>
    <row r="74" customFormat="false" ht="15" hidden="false" customHeight="false" outlineLevel="0" collapsed="false">
      <c r="A74" s="1" t="s">
        <v>335</v>
      </c>
    </row>
    <row r="75" customFormat="false" ht="15" hidden="false" customHeight="false" outlineLevel="0" collapsed="false">
      <c r="A75" s="0" t="s">
        <v>255</v>
      </c>
      <c r="B75" s="0" t="n">
        <f aca="false">SUM(B68:G68)</f>
        <v>-136598.112572607</v>
      </c>
    </row>
    <row r="76" customFormat="false" ht="15" hidden="false" customHeight="false" outlineLevel="0" collapsed="false">
      <c r="A76" s="0" t="s">
        <v>256</v>
      </c>
      <c r="B76" s="2" t="str">
        <f aca="false">IFERROR(IRR(B66:G66),"no definida")</f>
        <v>no definida</v>
      </c>
    </row>
    <row r="77" customFormat="false" ht="15" hidden="false" customHeight="false" outlineLevel="0" collapsed="false">
      <c r="A77" s="0" t="s">
        <v>257</v>
      </c>
      <c r="B77" s="0" t="str">
        <f aca="false">IF(COUNT(C71:G71)=0,"no se recupera",MIN(C71:G71))</f>
        <v>no se recupera</v>
      </c>
    </row>
    <row r="78" customFormat="false" ht="15" hidden="false" customHeight="false" outlineLevel="0" collapsed="false">
      <c r="A78" s="0" t="s">
        <v>258</v>
      </c>
      <c r="B78" s="0" t="str">
        <f aca="false">IF(COUNT(C72:G72)=0,"no se recupera",MIN(C72:G72))</f>
        <v>no se recupera</v>
      </c>
    </row>
    <row r="79" customFormat="false" ht="15" hidden="false" customHeight="false" outlineLevel="0" collapsed="false">
      <c r="A79" s="0" t="s">
        <v>261</v>
      </c>
      <c r="B79" s="0" t="n">
        <f aca="false">SUM(B68:G68)+MAX(0,G66-G63)*(1+crecimiento_perpetuo)/(tasa_descuento-crecimiento_perpetuo)/(1+tasa_descuento)^5</f>
        <v>-136598.112572607</v>
      </c>
    </row>
    <row r="80" customFormat="false" ht="15" hidden="false" customHeight="false" outlineLevel="0" collapsed="false">
      <c r="A80" s="0" t="s">
        <v>260</v>
      </c>
      <c r="B80" s="0" t="n">
        <f aca="false">IFERROR(G45/G36,"no definido")</f>
        <v>5600</v>
      </c>
    </row>
    <row r="81" customFormat="false" ht="15" hidden="false" customHeight="false" outlineLevel="0" collapsed="false">
      <c r="A81" s="0" t="s">
        <v>259</v>
      </c>
      <c r="B81" s="0" t="n">
        <f aca="false">IFERROR(ROUNDUP(G55/B80,0),"no definido")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2026-10-19T22:56:49Z</dcterms:created>
  <dc:creator>openpyxl</dc:creator>
  <dc:description/>
  <dc:language>es-ES</dc:language>
  <cp:lastModifiedBy/>
  <dcterms:modified xsi:type="dcterms:W3CDTF">2026-10-19T22:56:49Z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