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puestos" sheetId="1" state="visible" r:id="rId3"/>
    <sheet name="Neutral" sheetId="2" state="visible" r:id="rId4"/>
  </sheets>
  <definedNames>
    <definedName function="false" hidden="false" name="ajuste_sueldo" vbProcedure="false">Supuestos!$D$24</definedName>
    <definedName function="false" hidden="false" name="analisis_por_ua_mes" vbProcedure="false">Supuestos!$E$70:$G$70</definedName>
    <definedName function="false" hidden="false" name="anio_0" vbProcedure="false">Supuestos!$D$6</definedName>
    <definedName function="false" hidden="false" name="anio_electoral" vbProcedure="false">Supuestos!$D$8:$D$13</definedName>
    <definedName function="false" hidden="false" name="anio_inicio_b2b" vbProcedure="false">Supuestos!$E$89:$G$89</definedName>
    <definedName function="false" hidden="false" name="busquedas" vbProcedure="false">Supuestos!$E$63:$G$63</definedName>
    <definedName function="false" hidden="false" name="capt_agencias" vbProcedure="false">Supuestos!$E$95:$G$95</definedName>
    <definedName function="false" hidden="false" name="capt_medios_chicos" vbProcedure="false">Supuestos!$E$91:$G$91</definedName>
    <definedName function="false" hidden="false" name="capt_medios_grandes" vbProcedure="false">Supuestos!$E$90:$G$90</definedName>
    <definedName function="false" hidden="false" name="capt_organismos" vbProcedure="false">Supuestos!$E$94:$G$94</definedName>
    <definedName function="false" hidden="false" name="capt_universidades" vbProcedure="false">Supuestos!$E$93:$G$93</definedName>
    <definedName function="false" hidden="false" name="capt_verificadores" vbProcedure="false">Supuestos!$E$92:$G$92</definedName>
    <definedName function="false" hidden="false" name="churn_agencias" vbProcedure="false">Supuestos!$E$100:$G$100</definedName>
    <definedName function="false" hidden="false" name="churn_medios_chicos" vbProcedure="false">Supuestos!$E$97:$G$97</definedName>
    <definedName function="false" hidden="false" name="churn_medios_grandes" vbProcedure="false">Supuestos!$E$96:$G$96</definedName>
    <definedName function="false" hidden="false" name="churn_universidades" vbProcedure="false">Supuestos!$E$99:$G$99</definedName>
    <definedName function="false" hidden="false" name="churn_verificadores" vbProcedure="false">Supuestos!$E$98:$G$98</definedName>
    <definedName function="false" hidden="false" name="consultas_ent_mes" vbProcedure="false">Supuestos!$E$74:$G$74</definedName>
    <definedName function="false" hidden="false" name="consultas_pro_mes" vbProcedure="false">Supuestos!$E$73:$G$73</definedName>
    <definedName function="false" hidden="false" name="costo_analisis" vbProcedure="false">Supuestos!$E$64:$G$64</definedName>
    <definedName function="false" hidden="false" name="dominio_anual" vbProcedure="false">Supuestos!$D$41</definedName>
    <definedName function="false" hidden="false" name="horas_anio" vbProcedure="false">Supuestos!$D$44</definedName>
    <definedName function="false" hidden="false" name="horizonte" vbProcedure="false">Supuestos!$D$5</definedName>
    <definedName function="false" hidden="false" name="hosting_cpu" vbProcedure="false">Supuestos!$D$42</definedName>
    <definedName function="false" hidden="false" name="hosting_gpu" vbProcedure="false">Supuestos!$D$43</definedName>
    <definedName function="false" hidden="false" name="hosting_gpu_activo" vbProcedure="false">Supuestos!$E$45:$G$49</definedName>
    <definedName function="false" hidden="false" name="infra_base" vbProcedure="false">Supuestos!$D$38</definedName>
    <definedName function="false" hidden="false" name="infra_escalado" vbProcedure="false">Supuestos!$D$39</definedName>
    <definedName function="false" hidden="false" name="infra_hf_pro" vbProcedure="false">Supuestos!$D$37</definedName>
    <definedName function="false" hidden="false" name="infra_railway" vbProcedure="false">Supuestos!$D$35</definedName>
    <definedName function="false" hidden="false" name="infra_vercel" vbProcedure="false">Supuestos!$D$36</definedName>
    <definedName function="false" hidden="false" name="inv_chrome_web_store" vbProcedure="false">Supuestos!$D$30</definedName>
    <definedName function="false" hidden="false" name="inv_dominio" vbProcedure="false">Supuestos!$D$29</definedName>
    <definedName function="false" hidden="false" name="inv_infraestructura_0" vbProcedure="false">Supuestos!$D$28</definedName>
    <definedName function="false" hidden="false" name="inv_legal" vbProcedure="false">Supuestos!$D$32</definedName>
    <definedName function="false" hidden="false" name="inv_marca_inpi" vbProcedure="false">Supuestos!$D$31</definedName>
    <definedName function="false" hidden="false" name="marketing" vbProcedure="false">Supuestos!$E$50:$G$54</definedName>
    <definedName function="false" hidden="false" name="meses_anio" vbProcedure="false">Supuestos!$D$7</definedName>
    <definedName function="false" hidden="false" name="meses_anio_0" vbProcedure="false">Supuestos!$D$25</definedName>
    <definedName function="false" hidden="false" name="precio_agencias" vbProcedure="false">Supuestos!$E$88:$G$88</definedName>
    <definedName function="false" hidden="false" name="precio_busqueda" vbProcedure="false">Supuestos!$D$59</definedName>
    <definedName function="false" hidden="false" name="precio_entrada" vbProcedure="false">Supuestos!$D$57</definedName>
    <definedName function="false" hidden="false" name="precio_medios_chicos" vbProcedure="false">Supuestos!$D$84</definedName>
    <definedName function="false" hidden="false" name="precio_medios_grandes" vbProcedure="false">Supuestos!$E$83:$G$83</definedName>
    <definedName function="false" hidden="false" name="precio_organismos" vbProcedure="false">Supuestos!$E$87:$G$87</definedName>
    <definedName function="false" hidden="false" name="precio_salida" vbProcedure="false">Supuestos!$D$58</definedName>
    <definedName function="false" hidden="false" name="precio_universidades" vbProcedure="false">Supuestos!$D$86</definedName>
    <definedName function="false" hidden="false" name="precio_verificadores" vbProcedure="false">Supuestos!$D$85</definedName>
    <definedName function="false" hidden="false" name="prima_proyecto" vbProcedure="false">Supuestos!$D$16</definedName>
    <definedName function="false" hidden="false" name="riesgo_pais" vbProcedure="false">Supuestos!$D$15</definedName>
    <definedName function="false" hidden="false" name="sueldos_por_anio" vbProcedure="false">Supuestos!$D$23</definedName>
    <definedName function="false" hidden="false" name="sueldo_ars" vbProcedure="false">Supuestos!$D$20</definedName>
    <definedName function="false" hidden="false" name="sueldo_usd" vbProcedure="false">Supuestos!$D$22</definedName>
    <definedName function="false" hidden="false" name="tasa_descuento" vbProcedure="false">Supuestos!$D$17</definedName>
    <definedName function="false" hidden="false" name="tasa_libre_riesgo" vbProcedure="false">Supuestos!$D$14</definedName>
    <definedName function="false" hidden="false" name="tasa_reuso" vbProcedure="false">Supuestos!$E$72:$G$72</definedName>
    <definedName function="false" hidden="false" name="tc_encuesta" vbProcedure="false">Supuestos!$D$21</definedName>
    <definedName function="false" hidden="false" name="tokens_entrada" vbProcedure="false">Supuestos!$E$61:$G$61</definedName>
    <definedName function="false" hidden="false" name="tokens_por_millon" vbProcedure="false">Supuestos!$D$60</definedName>
    <definedName function="false" hidden="false" name="tokens_salida" vbProcedure="false">Supuestos!$E$62:$G$62</definedName>
    <definedName function="false" hidden="false" name="tope_diario" vbProcedure="false">Supuestos!$D$71</definedName>
    <definedName function="false" hidden="false" name="ua_escalado" vbProcedure="false">Supuestos!$D$40</definedName>
    <definedName function="false" hidden="false" name="usuarios_activos" vbProcedure="false">Supuestos!$E$65:$G$69</definedName>
    <definedName function="false" hidden="false" name="u_agencias" vbProcedure="false">Supuestos!$D$82</definedName>
    <definedName function="false" hidden="false" name="u_medios_chicos" vbProcedure="false">Supuestos!$D$78</definedName>
    <definedName function="false" hidden="false" name="u_medios_grandes" vbProcedure="false">Supuestos!$D$77</definedName>
    <definedName function="false" hidden="false" name="u_organismos" vbProcedure="false">Supuestos!$D$81</definedName>
    <definedName function="false" hidden="false" name="u_universidades" vbProcedure="false">Supuestos!$D$80</definedName>
    <definedName function="false" hidden="false" name="u_verificadores" vbProcedure="false">Supuestos!$D$79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<sst xmlns="http://schemas.openxmlformats.org/spreadsheetml/2006/main" count="409" uniqueCount="287">
  <si>
    <t xml:space="preserve">clave</t>
  </si>
  <si>
    <t xml:space="preserve">concepto</t>
  </si>
  <si>
    <t xml:space="preserve">unidad</t>
  </si>
  <si>
    <t xml:space="preserve">común</t>
  </si>
  <si>
    <t xml:space="preserve">optimista</t>
  </si>
  <si>
    <t xml:space="preserve">neutral</t>
  </si>
  <si>
    <t xml:space="preserve">pesimista</t>
  </si>
  <si>
    <t xml:space="preserve">fuente</t>
  </si>
  <si>
    <t xml:space="preserve">Fuente de cada supuesto: wiki/negocio/analisis-financiero.md. Clave bibliográfica = documento/biblio.bib.</t>
  </si>
  <si>
    <t xml:space="preserve">Horizonte, calendario y tasa</t>
  </si>
  <si>
    <t xml:space="preserve">horizonte</t>
  </si>
  <si>
    <t xml:space="preserve">Horizonte de evaluación</t>
  </si>
  <si>
    <t xml:space="preserve">años</t>
  </si>
  <si>
    <t xml:space="preserve">Decisión de #45</t>
  </si>
  <si>
    <t xml:space="preserve">anio_0</t>
  </si>
  <si>
    <t xml:space="preserve">Año calendario del año 0</t>
  </si>
  <si>
    <t xml:space="preserve">año</t>
  </si>
  <si>
    <t xml:space="preserve">Supuesto propio</t>
  </si>
  <si>
    <t xml:space="preserve">meses_anio</t>
  </si>
  <si>
    <t xml:space="preserve">Meses por año</t>
  </si>
  <si>
    <t xml:space="preserve">meses</t>
  </si>
  <si>
    <t xml:space="preserve">—</t>
  </si>
  <si>
    <t xml:space="preserve">anio_electoral</t>
  </si>
  <si>
    <t xml:space="preserve">Año 0 con elección nacional (1 = sí)</t>
  </si>
  <si>
    <t xml:space="preserve">0/1</t>
  </si>
  <si>
    <t xml:space="preserve">ConvencionConstituyente1994, LaNacion2026</t>
  </si>
  <si>
    <t xml:space="preserve">Año 1 con elección nacional (1 = sí)</t>
  </si>
  <si>
    <t xml:space="preserve">Año 2 con elección nacional (1 = sí)</t>
  </si>
  <si>
    <t xml:space="preserve">Año 3 con elección nacional (1 = sí)</t>
  </si>
  <si>
    <t xml:space="preserve">Año 4 con elección nacional (1 = sí)</t>
  </si>
  <si>
    <t xml:space="preserve">Año 5 con elección nacional (1 = sí)</t>
  </si>
  <si>
    <t xml:space="preserve">tasa_libre_riesgo</t>
  </si>
  <si>
    <t xml:space="preserve">Bono del Tesoro de EE. UU. a 10 años</t>
  </si>
  <si>
    <t xml:space="preserve">%</t>
  </si>
  <si>
    <t xml:space="preserve">FederalReserve2026</t>
  </si>
  <si>
    <t xml:space="preserve">riesgo_pais</t>
  </si>
  <si>
    <t xml:space="preserve">Riesgo país de Argentina (EMBI, 628 pb)</t>
  </si>
  <si>
    <t xml:space="preserve">Infobae2026</t>
  </si>
  <si>
    <t xml:space="preserve">prima_proyecto</t>
  </si>
  <si>
    <t xml:space="preserve">Prima por proyecto nuevo</t>
  </si>
  <si>
    <t xml:space="preserve">Supuesto propio, Damodaran2010</t>
  </si>
  <si>
    <t xml:space="preserve">tasa_descuento</t>
  </si>
  <si>
    <t xml:space="preserve">Tasa de descuento</t>
  </si>
  <si>
    <t xml:space="preserve">Suma de componentes</t>
  </si>
  <si>
    <t xml:space="preserve">Recursos humanos</t>
  </si>
  <si>
    <t xml:space="preserve">sueldo_ars</t>
  </si>
  <si>
    <t xml:space="preserve">Sueldo bruto mensual, developer semi senior</t>
  </si>
  <si>
    <t xml:space="preserve">ARS/mes</t>
  </si>
  <si>
    <t xml:space="preserve">Sysarmy2026</t>
  </si>
  <si>
    <t xml:space="preserve">tc_encuesta</t>
  </si>
  <si>
    <t xml:space="preserve">Tipo de cambio implícito de la encuesta</t>
  </si>
  <si>
    <t xml:space="preserve">ARS/USD</t>
  </si>
  <si>
    <t xml:space="preserve">sueldo_usd</t>
  </si>
  <si>
    <t xml:space="preserve">Sueldo bruto mensual en USD</t>
  </si>
  <si>
    <t xml:space="preserve">USD/mes</t>
  </si>
  <si>
    <t xml:space="preserve">Cálculo</t>
  </si>
  <si>
    <t xml:space="preserve">sueldos_por_anio</t>
  </si>
  <si>
    <t xml:space="preserve">Sueldos por año (12 + aguinaldo)</t>
  </si>
  <si>
    <t xml:space="preserve">sueldos</t>
  </si>
  <si>
    <t xml:space="preserve">ajuste_sueldo</t>
  </si>
  <si>
    <t xml:space="preserve">Ajuste anual del sueldo en USD</t>
  </si>
  <si>
    <t xml:space="preserve">meses_anio_0</t>
  </si>
  <si>
    <t xml:space="preserve">Meses de desarrollo en el año 0</t>
  </si>
  <si>
    <t xml:space="preserve">Cronograma del PFI</t>
  </si>
  <si>
    <t xml:space="preserve">Inversión del año 0 (además del desarrollo)</t>
  </si>
  <si>
    <t xml:space="preserve">inv_infraestructura_0</t>
  </si>
  <si>
    <t xml:space="preserve">Infraestructura durante el PFI (14 USD/mes × 12)</t>
  </si>
  <si>
    <t xml:space="preserve">USD</t>
  </si>
  <si>
    <t xml:space="preserve">wiki/proyecto/recursos</t>
  </si>
  <si>
    <t xml:space="preserve">inv_dominio</t>
  </si>
  <si>
    <t xml:space="preserve">Dominio, primer año</t>
  </si>
  <si>
    <t xml:space="preserve">wiki/proyecto/recursos [sin verificar]</t>
  </si>
  <si>
    <t xml:space="preserve">inv_chrome_web_store</t>
  </si>
  <si>
    <t xml:space="preserve">Alta en Chrome Web Store</t>
  </si>
  <si>
    <t xml:space="preserve">Google2026 [sin verificar]</t>
  </si>
  <si>
    <t xml:space="preserve">inv_marca_inpi</t>
  </si>
  <si>
    <t xml:space="preserve">Solicitud de marca en el INPI, clases 9 y 42</t>
  </si>
  <si>
    <t xml:space="preserve">INPI2026 [sin verificar]</t>
  </si>
  <si>
    <t xml:space="preserve">inv_legal</t>
  </si>
  <si>
    <t xml:space="preserve">Asesoría legal</t>
  </si>
  <si>
    <t xml:space="preserve">Supuesto propio [sin verificar]</t>
  </si>
  <si>
    <t xml:space="preserve">Infraestructura y hosting (años 1 a 5)</t>
  </si>
  <si>
    <t xml:space="preserve">infra_railway</t>
  </si>
  <si>
    <t xml:space="preserve">Railway Pro</t>
  </si>
  <si>
    <t xml:space="preserve">Railway2026</t>
  </si>
  <si>
    <t xml:space="preserve">infra_vercel</t>
  </si>
  <si>
    <t xml:space="preserve">Vercel Pro</t>
  </si>
  <si>
    <t xml:space="preserve">Vercel2026</t>
  </si>
  <si>
    <t xml:space="preserve">infra_hf_pro</t>
  </si>
  <si>
    <t xml:space="preserve">Hugging Face PRO</t>
  </si>
  <si>
    <t xml:space="preserve">HuggingFace2026</t>
  </si>
  <si>
    <t xml:space="preserve">infra_base</t>
  </si>
  <si>
    <t xml:space="preserve">Base comercial</t>
  </si>
  <si>
    <t xml:space="preserve">Suma</t>
  </si>
  <si>
    <t xml:space="preserve">infra_escalado</t>
  </si>
  <si>
    <t xml:space="preserve">Uso adicional por cada bloque de usuarios activos</t>
  </si>
  <si>
    <t xml:space="preserve">ua_escalado</t>
  </si>
  <si>
    <t xml:space="preserve">Usuarios activos por bloque de escalado</t>
  </si>
  <si>
    <t xml:space="preserve">UA</t>
  </si>
  <si>
    <t xml:space="preserve">dominio_anual</t>
  </si>
  <si>
    <t xml:space="preserve">Renovación del dominio</t>
  </si>
  <si>
    <t xml:space="preserve">USD/año</t>
  </si>
  <si>
    <t xml:space="preserve">hosting_cpu</t>
  </si>
  <si>
    <t xml:space="preserve">Endpoint de inferencia CPU</t>
  </si>
  <si>
    <t xml:space="preserve">USD/h</t>
  </si>
  <si>
    <t xml:space="preserve">hosting_gpu</t>
  </si>
  <si>
    <t xml:space="preserve">Endpoint de inferencia GPU T4</t>
  </si>
  <si>
    <t xml:space="preserve">horas_anio</t>
  </si>
  <si>
    <t xml:space="preserve">Horas por año</t>
  </si>
  <si>
    <t xml:space="preserve">h</t>
  </si>
  <si>
    <t xml:space="preserve">hosting_gpu_activo</t>
  </si>
  <si>
    <t xml:space="preserve">Año 1: endpoint GPU (1) o CPU (0)</t>
  </si>
  <si>
    <t xml:space="preserve">Año 2: endpoint GPU (1) o CPU (0)</t>
  </si>
  <si>
    <t xml:space="preserve">Año 3: endpoint GPU (1) o CPU (0)</t>
  </si>
  <si>
    <t xml:space="preserve">Año 4: endpoint GPU (1) o CPU (0)</t>
  </si>
  <si>
    <t xml:space="preserve">Año 5: endpoint GPU (1) o CPU (0)</t>
  </si>
  <si>
    <t xml:space="preserve">marketing</t>
  </si>
  <si>
    <t xml:space="preserve">Marketing, año 1</t>
  </si>
  <si>
    <t xml:space="preserve">Marketing, año 2</t>
  </si>
  <si>
    <t xml:space="preserve">Marketing, año 3</t>
  </si>
  <si>
    <t xml:space="preserve">Marketing, año 4</t>
  </si>
  <si>
    <t xml:space="preserve">Marketing, año 5</t>
  </si>
  <si>
    <t xml:space="preserve">Costo variable por análisis</t>
  </si>
  <si>
    <t xml:space="preserve">precio_entrada</t>
  </si>
  <si>
    <t xml:space="preserve">gpt-5.6-luna, entrada</t>
  </si>
  <si>
    <t xml:space="preserve">USD/1 M tokens</t>
  </si>
  <si>
    <t xml:space="preserve">OpenAI2026</t>
  </si>
  <si>
    <t xml:space="preserve">precio_salida</t>
  </si>
  <si>
    <t xml:space="preserve">gpt-5.6-luna, salida</t>
  </si>
  <si>
    <t xml:space="preserve">precio_busqueda</t>
  </si>
  <si>
    <t xml:space="preserve">Herramienta web_search</t>
  </si>
  <si>
    <t xml:space="preserve">USD/llamada</t>
  </si>
  <si>
    <t xml:space="preserve">tokens_por_millon</t>
  </si>
  <si>
    <t xml:space="preserve">Tokens por millón</t>
  </si>
  <si>
    <t xml:space="preserve">tokens</t>
  </si>
  <si>
    <t xml:space="preserve">tokens_entrada</t>
  </si>
  <si>
    <t xml:space="preserve">Tokens de entrada por análisis</t>
  </si>
  <si>
    <t xml:space="preserve">Estimación [sin verificar]</t>
  </si>
  <si>
    <t xml:space="preserve">tokens_salida</t>
  </si>
  <si>
    <t xml:space="preserve">Tokens de salida por análisis</t>
  </si>
  <si>
    <t xml:space="preserve">busquedas</t>
  </si>
  <si>
    <t xml:space="preserve">Llamadas a web_search por análisis</t>
  </si>
  <si>
    <t xml:space="preserve">llamadas</t>
  </si>
  <si>
    <t xml:space="preserve">costo_analisis</t>
  </si>
  <si>
    <t xml:space="preserve">Costo por análisis</t>
  </si>
  <si>
    <t xml:space="preserve">usuarios_activos</t>
  </si>
  <si>
    <t xml:space="preserve">Usuarios activos mensuales, año 1</t>
  </si>
  <si>
    <t xml:space="preserve">Usuarios activos mensuales, año 2</t>
  </si>
  <si>
    <t xml:space="preserve">Usuarios activos mensuales, año 3</t>
  </si>
  <si>
    <t xml:space="preserve">Usuarios activos mensuales, año 4</t>
  </si>
  <si>
    <t xml:space="preserve">Usuarios activos mensuales, año 5</t>
  </si>
  <si>
    <t xml:space="preserve">analisis_por_ua_mes</t>
  </si>
  <si>
    <t xml:space="preserve">Análisis por usuario activo por mes</t>
  </si>
  <si>
    <t xml:space="preserve">análisis</t>
  </si>
  <si>
    <t xml:space="preserve">tope_diario</t>
  </si>
  <si>
    <t xml:space="preserve">Tope de análisis por usuario gratuito por día (no restrictivo)</t>
  </si>
  <si>
    <t xml:space="preserve">tasa_reuso</t>
  </si>
  <si>
    <t xml:space="preserve">Análisis servidos desde la caché</t>
  </si>
  <si>
    <t xml:space="preserve">consultas_pro_mes</t>
  </si>
  <si>
    <t xml:space="preserve">Consultas por cliente API Pro por mes (uso parcial de la cuota)</t>
  </si>
  <si>
    <t xml:space="preserve">consultas</t>
  </si>
  <si>
    <t xml:space="preserve">consultas_ent_mes</t>
  </si>
  <si>
    <t xml:space="preserve">Consultas por cliente API Enterprise por mes</t>
  </si>
  <si>
    <t xml:space="preserve">Clientes B2B</t>
  </si>
  <si>
    <t xml:space="preserve">u_medios_grandes</t>
  </si>
  <si>
    <t xml:space="preserve">Universo: medios de gran porte</t>
  </si>
  <si>
    <t xml:space="preserve">organizaciones</t>
  </si>
  <si>
    <t xml:space="preserve">ADEPA2026 (corte propio)</t>
  </si>
  <si>
    <t xml:space="preserve">u_medios_chicos</t>
  </si>
  <si>
    <t xml:space="preserve">Universo: resto de medios de ADEPA con sitio web</t>
  </si>
  <si>
    <t xml:space="preserve">ADEPA2026</t>
  </si>
  <si>
    <t xml:space="preserve">u_verificadores</t>
  </si>
  <si>
    <t xml:space="preserve">Universo: verificadores</t>
  </si>
  <si>
    <t xml:space="preserve">LatamChequea2026</t>
  </si>
  <si>
    <t xml:space="preserve">u_universidades</t>
  </si>
  <si>
    <t xml:space="preserve">Universo: universidades</t>
  </si>
  <si>
    <t xml:space="preserve">SubsecretariaPoliticasUniversitarias2026</t>
  </si>
  <si>
    <t xml:space="preserve">u_organismos</t>
  </si>
  <si>
    <t xml:space="preserve">Universo: organismos electorales y ONG</t>
  </si>
  <si>
    <t xml:space="preserve">MinisterioInterior2026</t>
  </si>
  <si>
    <t xml:space="preserve">u_agencias</t>
  </si>
  <si>
    <t xml:space="preserve">Universo: agencias</t>
  </si>
  <si>
    <t xml:space="preserve">AgenciasArgentinas2026</t>
  </si>
  <si>
    <t xml:space="preserve">precio_medios_grandes</t>
  </si>
  <si>
    <t xml:space="preserve">Precio: API nivel superior, medios de gran porte</t>
  </si>
  <si>
    <t xml:space="preserve">Cap. 3, tab:pricing</t>
  </si>
  <si>
    <t xml:space="preserve">precio_medios_chicos</t>
  </si>
  <si>
    <t xml:space="preserve">Precio: API nivel intermedio</t>
  </si>
  <si>
    <t xml:space="preserve">precio_verificadores</t>
  </si>
  <si>
    <t xml:space="preserve">Precio: panel de tendencias + API intermedia</t>
  </si>
  <si>
    <t xml:space="preserve">precio_universidades</t>
  </si>
  <si>
    <t xml:space="preserve">Precio: acceso histórico</t>
  </si>
  <si>
    <t xml:space="preserve">precio_organismos</t>
  </si>
  <si>
    <t xml:space="preserve">Precio: reporte de monitoreo electoral</t>
  </si>
  <si>
    <t xml:space="preserve">USD/contrato</t>
  </si>
  <si>
    <t xml:space="preserve">precio_agencias</t>
  </si>
  <si>
    <t xml:space="preserve">Precio: API nivel superior, agencias</t>
  </si>
  <si>
    <t xml:space="preserve">anio_inicio_b2b</t>
  </si>
  <si>
    <t xml:space="preserve">Año del modelo en que empiezan las ventas B2B</t>
  </si>
  <si>
    <t xml:space="preserve">capt_medios_grandes</t>
  </si>
  <si>
    <t xml:space="preserve">Captación anual: medios de gran porte</t>
  </si>
  <si>
    <t xml:space="preserve">capt_medios_chicos</t>
  </si>
  <si>
    <t xml:space="preserve">Captación anual: resto de medios de ADEPA</t>
  </si>
  <si>
    <t xml:space="preserve">capt_verificadores</t>
  </si>
  <si>
    <t xml:space="preserve">Captación anual: verificadores</t>
  </si>
  <si>
    <t xml:space="preserve">capt_universidades</t>
  </si>
  <si>
    <t xml:space="preserve">Captación anual: universidades</t>
  </si>
  <si>
    <t xml:space="preserve">capt_organismos</t>
  </si>
  <si>
    <t xml:space="preserve">Fracción de organismos que contrata en año electoral</t>
  </si>
  <si>
    <t xml:space="preserve">capt_agencias</t>
  </si>
  <si>
    <t xml:space="preserve">Captación anual: agencias</t>
  </si>
  <si>
    <t xml:space="preserve">churn_medios_grandes</t>
  </si>
  <si>
    <t xml:space="preserve">Churn anual: medios de gran porte</t>
  </si>
  <si>
    <t xml:space="preserve">churn_medios_chicos</t>
  </si>
  <si>
    <t xml:space="preserve">Churn anual: resto de medios de ADEPA</t>
  </si>
  <si>
    <t xml:space="preserve">churn_verificadores</t>
  </si>
  <si>
    <t xml:space="preserve">Churn anual: verificadores</t>
  </si>
  <si>
    <t xml:space="preserve">churn_universidades</t>
  </si>
  <si>
    <t xml:space="preserve">Churn anual: universidades</t>
  </si>
  <si>
    <t xml:space="preserve">churn_agencias</t>
  </si>
  <si>
    <t xml:space="preserve">Churn anual: agencias</t>
  </si>
  <si>
    <t xml:space="preserve">Escenario neutral (USD nominales; todo lo derivado es fórmula)</t>
  </si>
  <si>
    <t xml:space="preserve">Columna de escenario en Supuestos (1 = optimista, 2 = neutral, 3 = pesimista)</t>
  </si>
  <si>
    <t xml:space="preserve">Año</t>
  </si>
  <si>
    <t xml:space="preserve">Año calendario</t>
  </si>
  <si>
    <t xml:space="preserve">Año electoral (1 = sí)</t>
  </si>
  <si>
    <t xml:space="preserve">Ventas B2B habilitadas (1 = sí)</t>
  </si>
  <si>
    <t xml:space="preserve">Usuarios activos mensuales</t>
  </si>
  <si>
    <t xml:space="preserve">Medios de gran porte: activos al inicio</t>
  </si>
  <si>
    <t xml:space="preserve">Medios de gran porte: bajas</t>
  </si>
  <si>
    <t xml:space="preserve">Medios de gran porte: altas</t>
  </si>
  <si>
    <t xml:space="preserve">Medios de gran porte: activos al cierre</t>
  </si>
  <si>
    <t xml:space="preserve">Medios de gran porte: promedio del año</t>
  </si>
  <si>
    <t xml:space="preserve">Medios socios de ADEPA (resto): activos al inicio</t>
  </si>
  <si>
    <t xml:space="preserve">Medios socios de ADEPA (resto): bajas</t>
  </si>
  <si>
    <t xml:space="preserve">Medios socios de ADEPA (resto): altas</t>
  </si>
  <si>
    <t xml:space="preserve">Medios socios de ADEPA (resto): activos al cierre</t>
  </si>
  <si>
    <t xml:space="preserve">Medios socios de ADEPA (resto): promedio del año</t>
  </si>
  <si>
    <t xml:space="preserve">Verificadores: activos al inicio</t>
  </si>
  <si>
    <t xml:space="preserve">Verificadores: bajas</t>
  </si>
  <si>
    <t xml:space="preserve">Verificadores: altas</t>
  </si>
  <si>
    <t xml:space="preserve">Verificadores: activos al cierre</t>
  </si>
  <si>
    <t xml:space="preserve">Verificadores: promedio del año</t>
  </si>
  <si>
    <t xml:space="preserve">Universidades y observatorios: activos al inicio</t>
  </si>
  <si>
    <t xml:space="preserve">Universidades y observatorios: bajas</t>
  </si>
  <si>
    <t xml:space="preserve">Universidades y observatorios: altas</t>
  </si>
  <si>
    <t xml:space="preserve">Universidades y observatorios: activos al cierre</t>
  </si>
  <si>
    <t xml:space="preserve">Universidades y observatorios: promedio del año</t>
  </si>
  <si>
    <t xml:space="preserve">Agencias: activos al inicio</t>
  </si>
  <si>
    <t xml:space="preserve">Agencias: bajas</t>
  </si>
  <si>
    <t xml:space="preserve">Agencias: altas</t>
  </si>
  <si>
    <t xml:space="preserve">Agencias: activos al cierre</t>
  </si>
  <si>
    <t xml:space="preserve">Agencias: promedio del año</t>
  </si>
  <si>
    <t xml:space="preserve">Organismos y ONG: contratos</t>
  </si>
  <si>
    <t xml:space="preserve">Clientes B2B (promedio del año, con contratos)</t>
  </si>
  <si>
    <t xml:space="preserve">Ingresos por producto</t>
  </si>
  <si>
    <t xml:space="preserve">Ingresos: API nivel superior (Medios de gran porte)</t>
  </si>
  <si>
    <t xml:space="preserve">Ingresos: API nivel intermedio (Medios socios de ADEPA (resto))</t>
  </si>
  <si>
    <t xml:space="preserve">Ingresos: panel de tendencias y API intermedia (Verificadores)</t>
  </si>
  <si>
    <t xml:space="preserve">Ingresos: acceso histórico (Universidades y observatorios)</t>
  </si>
  <si>
    <t xml:space="preserve">Ingresos: API nivel superior (Agencias)</t>
  </si>
  <si>
    <t xml:space="preserve">Ingresos: reportes de monitoreo electoral, organismos y ONG</t>
  </si>
  <si>
    <t xml:space="preserve">Ingresos totales</t>
  </si>
  <si>
    <t xml:space="preserve">Costos por rubro</t>
  </si>
  <si>
    <t xml:space="preserve">Costo: recursos humanos (desarrollador semi senior)</t>
  </si>
  <si>
    <t xml:space="preserve">Costo: infraestructura</t>
  </si>
  <si>
    <t xml:space="preserve">Costo: hosting del modelo</t>
  </si>
  <si>
    <t xml:space="preserve">Costo: marketing</t>
  </si>
  <si>
    <t xml:space="preserve">Costo: dominio, Chrome Web Store, marca y asesoría legal</t>
  </si>
  <si>
    <t xml:space="preserve">Costo variable: análisis de usuarios gratuitos</t>
  </si>
  <si>
    <t xml:space="preserve">Costo variable: consultas de la API B2B</t>
  </si>
  <si>
    <t xml:space="preserve">Costos totales</t>
  </si>
  <si>
    <t xml:space="preserve">Flujo de caja</t>
  </si>
  <si>
    <t xml:space="preserve">Flujo neto</t>
  </si>
  <si>
    <t xml:space="preserve">Factor de descuento</t>
  </si>
  <si>
    <t xml:space="preserve">Flujo descontado</t>
  </si>
  <si>
    <t xml:space="preserve">Flujo neto acumulado</t>
  </si>
  <si>
    <t xml:space="preserve">Flujo descontado acumulado</t>
  </si>
  <si>
    <t xml:space="preserve">Recupero simple: a + b/c en el año del cruce</t>
  </si>
  <si>
    <t xml:space="preserve">Recupero descontado: a + b/c en el año del cruce</t>
  </si>
  <si>
    <t xml:space="preserve">Indicadores</t>
  </si>
  <si>
    <t xml:space="preserve">VAN (USD)</t>
  </si>
  <si>
    <t xml:space="preserve">TIR</t>
  </si>
  <si>
    <t xml:space="preserve">Payback simple (años)</t>
  </si>
  <si>
    <t xml:space="preserve">Payback descontado (años)</t>
  </si>
  <si>
    <t xml:space="preserve">Ingreso medio por cliente B2B en el año 5 (USD)</t>
  </si>
  <si>
    <t xml:space="preserve">Punto de equilibrio (clientes B2B)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</si>
</sst>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\ %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2"/>
    <col collapsed="false" customWidth="true" hidden="false" outlineLevel="0" max="8" min="8" style="0" width="4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0" t="s">
        <v>8</v>
      </c>
    </row>
    <row r="4" customFormat="false" ht="15" hidden="false" customHeight="false" outlineLevel="0" collapsed="false">
      <c r="A4" s="1" t="s">
        <v>9</v>
      </c>
    </row>
    <row r="5" customFormat="false" ht="15" hidden="false" customHeight="false" outlineLevel="0" collapsed="false">
      <c r="A5" s="0" t="s">
        <v>10</v>
      </c>
      <c r="B5" s="0" t="s">
        <v>11</v>
      </c>
      <c r="C5" s="0" t="s">
        <v>12</v>
      </c>
      <c r="D5" s="0" t="n">
        <v>5</v>
      </c>
      <c r="H5" s="0" t="s">
        <v>13</v>
      </c>
    </row>
    <row r="6" customFormat="false" ht="15" hidden="false" customHeight="false" outlineLevel="0" collapsed="false">
      <c r="A6" s="0" t="s">
        <v>14</v>
      </c>
      <c r="B6" s="0" t="s">
        <v>15</v>
      </c>
      <c r="C6" s="0" t="s">
        <v>16</v>
      </c>
      <c r="D6" s="0" t="n">
        <v>2026</v>
      </c>
      <c r="H6" s="0" t="s">
        <v>17</v>
      </c>
    </row>
    <row r="7" customFormat="false" ht="15" hidden="false" customHeight="false" outlineLevel="0" collapsed="false">
      <c r="A7" s="0" t="s">
        <v>18</v>
      </c>
      <c r="B7" s="0" t="s">
        <v>19</v>
      </c>
      <c r="C7" s="0" t="s">
        <v>20</v>
      </c>
      <c r="D7" s="0" t="n">
        <v>12</v>
      </c>
      <c r="H7" s="0" t="s">
        <v>21</v>
      </c>
    </row>
    <row r="8" customFormat="false" ht="15" hidden="false" customHeight="false" outlineLevel="0" collapsed="false">
      <c r="A8" s="0" t="s">
        <v>22</v>
      </c>
      <c r="B8" s="0" t="s">
        <v>23</v>
      </c>
      <c r="C8" s="0" t="s">
        <v>24</v>
      </c>
      <c r="D8" s="0" t="n">
        <v>0</v>
      </c>
      <c r="H8" s="0" t="s">
        <v>25</v>
      </c>
    </row>
    <row r="9" customFormat="false" ht="15" hidden="false" customHeight="false" outlineLevel="0" collapsed="false">
      <c r="B9" s="0" t="s">
        <v>26</v>
      </c>
      <c r="C9" s="0" t="s">
        <v>24</v>
      </c>
      <c r="D9" s="0" t="n">
        <v>1</v>
      </c>
      <c r="H9" s="0" t="s">
        <v>25</v>
      </c>
    </row>
    <row r="10" customFormat="false" ht="15" hidden="false" customHeight="false" outlineLevel="0" collapsed="false">
      <c r="B10" s="0" t="s">
        <v>27</v>
      </c>
      <c r="C10" s="0" t="s">
        <v>24</v>
      </c>
      <c r="D10" s="0" t="n">
        <v>0</v>
      </c>
      <c r="H10" s="0" t="s">
        <v>25</v>
      </c>
    </row>
    <row r="11" customFormat="false" ht="15" hidden="false" customHeight="false" outlineLevel="0" collapsed="false">
      <c r="B11" s="0" t="s">
        <v>28</v>
      </c>
      <c r="C11" s="0" t="s">
        <v>24</v>
      </c>
      <c r="D11" s="0" t="n">
        <v>1</v>
      </c>
      <c r="H11" s="0" t="s">
        <v>25</v>
      </c>
    </row>
    <row r="12" customFormat="false" ht="15" hidden="false" customHeight="false" outlineLevel="0" collapsed="false">
      <c r="B12" s="0" t="s">
        <v>29</v>
      </c>
      <c r="C12" s="0" t="s">
        <v>24</v>
      </c>
      <c r="D12" s="0" t="n">
        <v>0</v>
      </c>
      <c r="H12" s="0" t="s">
        <v>25</v>
      </c>
    </row>
    <row r="13" customFormat="false" ht="15" hidden="false" customHeight="false" outlineLevel="0" collapsed="false">
      <c r="B13" s="0" t="s">
        <v>30</v>
      </c>
      <c r="C13" s="0" t="s">
        <v>24</v>
      </c>
      <c r="D13" s="0" t="n">
        <v>1</v>
      </c>
      <c r="H13" s="0" t="s">
        <v>25</v>
      </c>
    </row>
    <row r="14" customFormat="false" ht="15" hidden="false" customHeight="false" outlineLevel="0" collapsed="false">
      <c r="A14" s="0" t="s">
        <v>31</v>
      </c>
      <c r="B14" s="0" t="s">
        <v>32</v>
      </c>
      <c r="C14" s="0" t="s">
        <v>33</v>
      </c>
      <c r="D14" s="0" t="n">
        <v>0.0517</v>
      </c>
      <c r="H14" s="0" t="s">
        <v>34</v>
      </c>
    </row>
    <row r="15" customFormat="false" ht="15" hidden="false" customHeight="false" outlineLevel="0" collapsed="false">
      <c r="A15" s="0" t="s">
        <v>35</v>
      </c>
      <c r="B15" s="0" t="s">
        <v>36</v>
      </c>
      <c r="C15" s="0" t="s">
        <v>33</v>
      </c>
      <c r="D15" s="0" t="n">
        <v>0.0628</v>
      </c>
      <c r="H15" s="0" t="s">
        <v>37</v>
      </c>
    </row>
    <row r="16" customFormat="false" ht="15" hidden="false" customHeight="false" outlineLevel="0" collapsed="false">
      <c r="A16" s="0" t="s">
        <v>38</v>
      </c>
      <c r="B16" s="0" t="s">
        <v>39</v>
      </c>
      <c r="C16" s="0" t="s">
        <v>33</v>
      </c>
      <c r="D16" s="0" t="n">
        <v>0.1355</v>
      </c>
      <c r="H16" s="0" t="s">
        <v>40</v>
      </c>
    </row>
    <row r="17" customFormat="false" ht="15" hidden="false" customHeight="false" outlineLevel="0" collapsed="false">
      <c r="A17" s="0" t="s">
        <v>41</v>
      </c>
      <c r="B17" s="0" t="s">
        <v>42</v>
      </c>
      <c r="C17" s="0" t="s">
        <v>33</v>
      </c>
      <c r="D17" s="0" t="n">
        <f aca="false">tasa_libre_riesgo+riesgo_pais+prima_proyecto</f>
        <v>0.25</v>
      </c>
      <c r="H17" s="0" t="s">
        <v>43</v>
      </c>
    </row>
    <row r="19" customFormat="false" ht="15" hidden="false" customHeight="false" outlineLevel="0" collapsed="false">
      <c r="A19" s="1" t="s">
        <v>44</v>
      </c>
    </row>
    <row r="20" customFormat="false" ht="15" hidden="false" customHeight="false" outlineLevel="0" collapsed="false">
      <c r="A20" s="0" t="s">
        <v>45</v>
      </c>
      <c r="B20" s="0" t="s">
        <v>46</v>
      </c>
      <c r="C20" s="0" t="s">
        <v>47</v>
      </c>
      <c r="D20" s="0" t="n">
        <v>2501629</v>
      </c>
      <c r="H20" s="0" t="s">
        <v>48</v>
      </c>
    </row>
    <row r="21" customFormat="false" ht="15" hidden="false" customHeight="false" outlineLevel="0" collapsed="false">
      <c r="A21" s="0" t="s">
        <v>49</v>
      </c>
      <c r="B21" s="0" t="s">
        <v>50</v>
      </c>
      <c r="C21" s="0" t="s">
        <v>51</v>
      </c>
      <c r="D21" s="0" t="n">
        <v>1397.88</v>
      </c>
      <c r="H21" s="0" t="s">
        <v>48</v>
      </c>
    </row>
    <row r="22" customFormat="false" ht="15" hidden="false" customHeight="false" outlineLevel="0" collapsed="false">
      <c r="A22" s="0" t="s">
        <v>52</v>
      </c>
      <c r="B22" s="0" t="s">
        <v>53</v>
      </c>
      <c r="C22" s="0" t="s">
        <v>54</v>
      </c>
      <c r="D22" s="0" t="n">
        <f aca="false">ROUND(sueldo_ars/tc_encuesta,0)</f>
        <v>1790</v>
      </c>
      <c r="H22" s="0" t="s">
        <v>55</v>
      </c>
    </row>
    <row r="23" customFormat="false" ht="15" hidden="false" customHeight="false" outlineLevel="0" collapsed="false">
      <c r="A23" s="0" t="s">
        <v>56</v>
      </c>
      <c r="B23" s="0" t="s">
        <v>57</v>
      </c>
      <c r="C23" s="0" t="s">
        <v>58</v>
      </c>
      <c r="D23" s="0" t="n">
        <v>13</v>
      </c>
      <c r="H23" s="0" t="s">
        <v>17</v>
      </c>
    </row>
    <row r="24" customFormat="false" ht="15" hidden="false" customHeight="false" outlineLevel="0" collapsed="false">
      <c r="A24" s="0" t="s">
        <v>59</v>
      </c>
      <c r="B24" s="0" t="s">
        <v>60</v>
      </c>
      <c r="C24" s="0" t="s">
        <v>33</v>
      </c>
      <c r="D24" s="0" t="n">
        <v>0.05</v>
      </c>
      <c r="H24" s="0" t="s">
        <v>17</v>
      </c>
    </row>
    <row r="25" customFormat="false" ht="15" hidden="false" customHeight="false" outlineLevel="0" collapsed="false">
      <c r="A25" s="0" t="s">
        <v>61</v>
      </c>
      <c r="B25" s="0" t="s">
        <v>62</v>
      </c>
      <c r="C25" s="0" t="s">
        <v>20</v>
      </c>
      <c r="D25" s="0" t="n">
        <v>10</v>
      </c>
      <c r="H25" s="0" t="s">
        <v>63</v>
      </c>
    </row>
    <row r="27" customFormat="false" ht="15" hidden="false" customHeight="false" outlineLevel="0" collapsed="false">
      <c r="A27" s="1" t="s">
        <v>64</v>
      </c>
    </row>
    <row r="28" customFormat="false" ht="15" hidden="false" customHeight="false" outlineLevel="0" collapsed="false">
      <c r="A28" s="0" t="s">
        <v>65</v>
      </c>
      <c r="B28" s="0" t="s">
        <v>66</v>
      </c>
      <c r="C28" s="0" t="s">
        <v>67</v>
      </c>
      <c r="D28" s="0" t="n">
        <v>168</v>
      </c>
      <c r="H28" s="0" t="s">
        <v>68</v>
      </c>
    </row>
    <row r="29" customFormat="false" ht="15" hidden="false" customHeight="false" outlineLevel="0" collapsed="false">
      <c r="A29" s="0" t="s">
        <v>69</v>
      </c>
      <c r="B29" s="0" t="s">
        <v>70</v>
      </c>
      <c r="C29" s="0" t="s">
        <v>67</v>
      </c>
      <c r="D29" s="0" t="n">
        <v>15</v>
      </c>
      <c r="H29" s="0" t="s">
        <v>71</v>
      </c>
    </row>
    <row r="30" customFormat="false" ht="15" hidden="false" customHeight="false" outlineLevel="0" collapsed="false">
      <c r="A30" s="0" t="s">
        <v>72</v>
      </c>
      <c r="B30" s="0" t="s">
        <v>73</v>
      </c>
      <c r="C30" s="0" t="s">
        <v>67</v>
      </c>
      <c r="D30" s="0" t="n">
        <v>5</v>
      </c>
      <c r="H30" s="0" t="s">
        <v>74</v>
      </c>
    </row>
    <row r="31" customFormat="false" ht="15" hidden="false" customHeight="false" outlineLevel="0" collapsed="false">
      <c r="A31" s="0" t="s">
        <v>75</v>
      </c>
      <c r="B31" s="0" t="s">
        <v>76</v>
      </c>
      <c r="C31" s="0" t="s">
        <v>67</v>
      </c>
      <c r="D31" s="0" t="n">
        <v>53</v>
      </c>
      <c r="H31" s="0" t="s">
        <v>77</v>
      </c>
    </row>
    <row r="32" customFormat="false" ht="15" hidden="false" customHeight="false" outlineLevel="0" collapsed="false">
      <c r="A32" s="0" t="s">
        <v>78</v>
      </c>
      <c r="B32" s="0" t="s">
        <v>79</v>
      </c>
      <c r="C32" s="0" t="s">
        <v>67</v>
      </c>
      <c r="D32" s="0" t="n">
        <v>1500</v>
      </c>
      <c r="H32" s="0" t="s">
        <v>80</v>
      </c>
    </row>
    <row r="34" customFormat="false" ht="15" hidden="false" customHeight="false" outlineLevel="0" collapsed="false">
      <c r="A34" s="1" t="s">
        <v>81</v>
      </c>
    </row>
    <row r="35" customFormat="false" ht="15" hidden="false" customHeight="false" outlineLevel="0" collapsed="false">
      <c r="A35" s="0" t="s">
        <v>82</v>
      </c>
      <c r="B35" s="0" t="s">
        <v>83</v>
      </c>
      <c r="C35" s="0" t="s">
        <v>54</v>
      </c>
      <c r="D35" s="0" t="n">
        <v>20</v>
      </c>
      <c r="H35" s="0" t="s">
        <v>84</v>
      </c>
    </row>
    <row r="36" customFormat="false" ht="15" hidden="false" customHeight="false" outlineLevel="0" collapsed="false">
      <c r="A36" s="0" t="s">
        <v>85</v>
      </c>
      <c r="B36" s="0" t="s">
        <v>86</v>
      </c>
      <c r="C36" s="0" t="s">
        <v>54</v>
      </c>
      <c r="D36" s="0" t="n">
        <v>20</v>
      </c>
      <c r="H36" s="0" t="s">
        <v>87</v>
      </c>
    </row>
    <row r="37" customFormat="false" ht="15" hidden="false" customHeight="false" outlineLevel="0" collapsed="false">
      <c r="A37" s="0" t="s">
        <v>88</v>
      </c>
      <c r="B37" s="0" t="s">
        <v>89</v>
      </c>
      <c r="C37" s="0" t="s">
        <v>54</v>
      </c>
      <c r="D37" s="0" t="n">
        <v>9</v>
      </c>
      <c r="H37" s="0" t="s">
        <v>90</v>
      </c>
    </row>
    <row r="38" customFormat="false" ht="15" hidden="false" customHeight="false" outlineLevel="0" collapsed="false">
      <c r="A38" s="0" t="s">
        <v>91</v>
      </c>
      <c r="B38" s="0" t="s">
        <v>92</v>
      </c>
      <c r="C38" s="0" t="s">
        <v>54</v>
      </c>
      <c r="D38" s="0" t="n">
        <f aca="false">infra_railway+infra_vercel+infra_hf_pro</f>
        <v>49</v>
      </c>
      <c r="H38" s="0" t="s">
        <v>93</v>
      </c>
    </row>
    <row r="39" customFormat="false" ht="15" hidden="false" customHeight="false" outlineLevel="0" collapsed="false">
      <c r="A39" s="0" t="s">
        <v>94</v>
      </c>
      <c r="B39" s="0" t="s">
        <v>95</v>
      </c>
      <c r="C39" s="0" t="s">
        <v>54</v>
      </c>
      <c r="D39" s="0" t="n">
        <v>10</v>
      </c>
      <c r="H39" s="0" t="s">
        <v>80</v>
      </c>
    </row>
    <row r="40" customFormat="false" ht="15" hidden="false" customHeight="false" outlineLevel="0" collapsed="false">
      <c r="A40" s="0" t="s">
        <v>96</v>
      </c>
      <c r="B40" s="0" t="s">
        <v>97</v>
      </c>
      <c r="C40" s="0" t="s">
        <v>98</v>
      </c>
      <c r="D40" s="0" t="n">
        <v>10000</v>
      </c>
      <c r="H40" s="0" t="s">
        <v>17</v>
      </c>
    </row>
    <row r="41" customFormat="false" ht="15" hidden="false" customHeight="false" outlineLevel="0" collapsed="false">
      <c r="A41" s="0" t="s">
        <v>99</v>
      </c>
      <c r="B41" s="0" t="s">
        <v>100</v>
      </c>
      <c r="C41" s="0" t="s">
        <v>101</v>
      </c>
      <c r="D41" s="0" t="n">
        <v>15</v>
      </c>
      <c r="H41" s="0" t="s">
        <v>71</v>
      </c>
    </row>
    <row r="42" customFormat="false" ht="15" hidden="false" customHeight="false" outlineLevel="0" collapsed="false">
      <c r="A42" s="0" t="s">
        <v>102</v>
      </c>
      <c r="B42" s="0" t="s">
        <v>103</v>
      </c>
      <c r="C42" s="0" t="s">
        <v>104</v>
      </c>
      <c r="D42" s="0" t="n">
        <v>0.03</v>
      </c>
      <c r="H42" s="0" t="s">
        <v>90</v>
      </c>
    </row>
    <row r="43" customFormat="false" ht="15" hidden="false" customHeight="false" outlineLevel="0" collapsed="false">
      <c r="A43" s="0" t="s">
        <v>105</v>
      </c>
      <c r="B43" s="0" t="s">
        <v>106</v>
      </c>
      <c r="C43" s="0" t="s">
        <v>104</v>
      </c>
      <c r="D43" s="0" t="n">
        <v>0.5</v>
      </c>
      <c r="H43" s="0" t="s">
        <v>90</v>
      </c>
    </row>
    <row r="44" customFormat="false" ht="15" hidden="false" customHeight="false" outlineLevel="0" collapsed="false">
      <c r="A44" s="0" t="s">
        <v>107</v>
      </c>
      <c r="B44" s="0" t="s">
        <v>108</v>
      </c>
      <c r="C44" s="0" t="s">
        <v>109</v>
      </c>
      <c r="D44" s="0" t="n">
        <v>8760</v>
      </c>
      <c r="H44" s="0" t="s">
        <v>21</v>
      </c>
    </row>
    <row r="45" customFormat="false" ht="15" hidden="false" customHeight="false" outlineLevel="0" collapsed="false">
      <c r="A45" s="0" t="s">
        <v>110</v>
      </c>
      <c r="B45" s="0" t="s">
        <v>111</v>
      </c>
      <c r="C45" s="0" t="s">
        <v>24</v>
      </c>
      <c r="E45" s="0" t="n">
        <v>0</v>
      </c>
      <c r="F45" s="0" t="n">
        <v>0</v>
      </c>
      <c r="G45" s="0" t="n">
        <v>0</v>
      </c>
      <c r="H45" s="0" t="s">
        <v>17</v>
      </c>
    </row>
    <row r="46" customFormat="false" ht="15" hidden="false" customHeight="false" outlineLevel="0" collapsed="false">
      <c r="B46" s="0" t="s">
        <v>112</v>
      </c>
      <c r="C46" s="0" t="s">
        <v>24</v>
      </c>
      <c r="E46" s="0" t="n">
        <v>1</v>
      </c>
      <c r="F46" s="0" t="n">
        <v>0</v>
      </c>
      <c r="G46" s="0" t="n">
        <v>0</v>
      </c>
      <c r="H46" s="0" t="s">
        <v>17</v>
      </c>
    </row>
    <row r="47" customFormat="false" ht="15" hidden="false" customHeight="false" outlineLevel="0" collapsed="false">
      <c r="B47" s="0" t="s">
        <v>113</v>
      </c>
      <c r="C47" s="0" t="s">
        <v>24</v>
      </c>
      <c r="E47" s="0" t="n">
        <v>1</v>
      </c>
      <c r="F47" s="0" t="n">
        <v>1</v>
      </c>
      <c r="G47" s="0" t="n">
        <v>0</v>
      </c>
      <c r="H47" s="0" t="s">
        <v>17</v>
      </c>
    </row>
    <row r="48" customFormat="false" ht="15" hidden="false" customHeight="false" outlineLevel="0" collapsed="false">
      <c r="B48" s="0" t="s">
        <v>114</v>
      </c>
      <c r="C48" s="0" t="s">
        <v>24</v>
      </c>
      <c r="E48" s="0" t="n">
        <v>1</v>
      </c>
      <c r="F48" s="0" t="n">
        <v>1</v>
      </c>
      <c r="G48" s="0" t="n">
        <v>0</v>
      </c>
      <c r="H48" s="0" t="s">
        <v>17</v>
      </c>
    </row>
    <row r="49" customFormat="false" ht="15" hidden="false" customHeight="false" outlineLevel="0" collapsed="false">
      <c r="B49" s="0" t="s">
        <v>115</v>
      </c>
      <c r="C49" s="0" t="s">
        <v>24</v>
      </c>
      <c r="E49" s="0" t="n">
        <v>1</v>
      </c>
      <c r="F49" s="0" t="n">
        <v>1</v>
      </c>
      <c r="G49" s="0" t="n">
        <v>0</v>
      </c>
      <c r="H49" s="0" t="s">
        <v>17</v>
      </c>
    </row>
    <row r="50" customFormat="false" ht="15" hidden="false" customHeight="false" outlineLevel="0" collapsed="false">
      <c r="A50" s="0" t="s">
        <v>116</v>
      </c>
      <c r="B50" s="0" t="s">
        <v>117</v>
      </c>
      <c r="C50" s="0" t="s">
        <v>101</v>
      </c>
      <c r="E50" s="0" t="n">
        <v>6000</v>
      </c>
      <c r="F50" s="0" t="n">
        <v>4000</v>
      </c>
      <c r="G50" s="0" t="n">
        <v>2000</v>
      </c>
      <c r="H50" s="0" t="s">
        <v>17</v>
      </c>
    </row>
    <row r="51" customFormat="false" ht="15" hidden="false" customHeight="false" outlineLevel="0" collapsed="false">
      <c r="B51" s="0" t="s">
        <v>118</v>
      </c>
      <c r="C51" s="0" t="s">
        <v>101</v>
      </c>
      <c r="E51" s="0" t="n">
        <v>9000</v>
      </c>
      <c r="F51" s="0" t="n">
        <v>6000</v>
      </c>
      <c r="G51" s="0" t="n">
        <v>3000</v>
      </c>
      <c r="H51" s="0" t="s">
        <v>17</v>
      </c>
    </row>
    <row r="52" customFormat="false" ht="15" hidden="false" customHeight="false" outlineLevel="0" collapsed="false">
      <c r="B52" s="0" t="s">
        <v>119</v>
      </c>
      <c r="C52" s="0" t="s">
        <v>101</v>
      </c>
      <c r="E52" s="0" t="n">
        <v>12000</v>
      </c>
      <c r="F52" s="0" t="n">
        <v>8000</v>
      </c>
      <c r="G52" s="0" t="n">
        <v>4000</v>
      </c>
      <c r="H52" s="0" t="s">
        <v>17</v>
      </c>
    </row>
    <row r="53" customFormat="false" ht="15" hidden="false" customHeight="false" outlineLevel="0" collapsed="false">
      <c r="B53" s="0" t="s">
        <v>120</v>
      </c>
      <c r="C53" s="0" t="s">
        <v>101</v>
      </c>
      <c r="E53" s="0" t="n">
        <v>15000</v>
      </c>
      <c r="F53" s="0" t="n">
        <v>10000</v>
      </c>
      <c r="G53" s="0" t="n">
        <v>5000</v>
      </c>
      <c r="H53" s="0" t="s">
        <v>17</v>
      </c>
    </row>
    <row r="54" customFormat="false" ht="15" hidden="false" customHeight="false" outlineLevel="0" collapsed="false">
      <c r="B54" s="0" t="s">
        <v>121</v>
      </c>
      <c r="C54" s="0" t="s">
        <v>101</v>
      </c>
      <c r="E54" s="0" t="n">
        <v>18000</v>
      </c>
      <c r="F54" s="0" t="n">
        <v>12000</v>
      </c>
      <c r="G54" s="0" t="n">
        <v>6000</v>
      </c>
      <c r="H54" s="0" t="s">
        <v>17</v>
      </c>
    </row>
    <row r="56" customFormat="false" ht="15" hidden="false" customHeight="false" outlineLevel="0" collapsed="false">
      <c r="A56" s="1" t="s">
        <v>122</v>
      </c>
    </row>
    <row r="57" customFormat="false" ht="15" hidden="false" customHeight="false" outlineLevel="0" collapsed="false">
      <c r="A57" s="0" t="s">
        <v>123</v>
      </c>
      <c r="B57" s="0" t="s">
        <v>124</v>
      </c>
      <c r="C57" s="0" t="s">
        <v>125</v>
      </c>
      <c r="D57" s="0" t="n">
        <v>0.2</v>
      </c>
      <c r="H57" s="0" t="s">
        <v>126</v>
      </c>
    </row>
    <row r="58" customFormat="false" ht="15" hidden="false" customHeight="false" outlineLevel="0" collapsed="false">
      <c r="A58" s="0" t="s">
        <v>127</v>
      </c>
      <c r="B58" s="0" t="s">
        <v>128</v>
      </c>
      <c r="C58" s="0" t="s">
        <v>125</v>
      </c>
      <c r="D58" s="0" t="n">
        <v>1.2</v>
      </c>
      <c r="H58" s="0" t="s">
        <v>126</v>
      </c>
    </row>
    <row r="59" customFormat="false" ht="15" hidden="false" customHeight="false" outlineLevel="0" collapsed="false">
      <c r="A59" s="0" t="s">
        <v>129</v>
      </c>
      <c r="B59" s="0" t="s">
        <v>130</v>
      </c>
      <c r="C59" s="0" t="s">
        <v>131</v>
      </c>
      <c r="D59" s="0" t="n">
        <v>0.01</v>
      </c>
      <c r="H59" s="0" t="s">
        <v>126</v>
      </c>
    </row>
    <row r="60" customFormat="false" ht="15" hidden="false" customHeight="false" outlineLevel="0" collapsed="false">
      <c r="A60" s="0" t="s">
        <v>132</v>
      </c>
      <c r="B60" s="0" t="s">
        <v>133</v>
      </c>
      <c r="C60" s="0" t="s">
        <v>134</v>
      </c>
      <c r="D60" s="0" t="n">
        <v>1000000</v>
      </c>
      <c r="H60" s="0" t="s">
        <v>21</v>
      </c>
    </row>
    <row r="61" customFormat="false" ht="15" hidden="false" customHeight="false" outlineLevel="0" collapsed="false">
      <c r="A61" s="0" t="s">
        <v>135</v>
      </c>
      <c r="B61" s="0" t="s">
        <v>136</v>
      </c>
      <c r="C61" s="0" t="s">
        <v>134</v>
      </c>
      <c r="E61" s="0" t="n">
        <v>6220</v>
      </c>
      <c r="F61" s="0" t="n">
        <v>11220</v>
      </c>
      <c r="G61" s="0" t="n">
        <v>18220</v>
      </c>
      <c r="H61" s="0" t="s">
        <v>137</v>
      </c>
    </row>
    <row r="62" customFormat="false" ht="15" hidden="false" customHeight="false" outlineLevel="0" collapsed="false">
      <c r="A62" s="0" t="s">
        <v>138</v>
      </c>
      <c r="B62" s="0" t="s">
        <v>139</v>
      </c>
      <c r="C62" s="0" t="s">
        <v>134</v>
      </c>
      <c r="E62" s="0" t="n">
        <v>1250</v>
      </c>
      <c r="F62" s="0" t="n">
        <v>2000</v>
      </c>
      <c r="G62" s="0" t="n">
        <v>3600</v>
      </c>
      <c r="H62" s="0" t="s">
        <v>137</v>
      </c>
    </row>
    <row r="63" customFormat="false" ht="15" hidden="false" customHeight="false" outlineLevel="0" collapsed="false">
      <c r="A63" s="0" t="s">
        <v>140</v>
      </c>
      <c r="B63" s="0" t="s">
        <v>141</v>
      </c>
      <c r="C63" s="0" t="s">
        <v>142</v>
      </c>
      <c r="E63" s="0" t="n">
        <v>1</v>
      </c>
      <c r="F63" s="0" t="n">
        <v>2</v>
      </c>
      <c r="G63" s="0" t="n">
        <v>3</v>
      </c>
      <c r="H63" s="0" t="s">
        <v>137</v>
      </c>
    </row>
    <row r="64" customFormat="false" ht="15" hidden="false" customHeight="false" outlineLevel="0" collapsed="false">
      <c r="A64" s="0" t="s">
        <v>143</v>
      </c>
      <c r="B64" s="0" t="s">
        <v>144</v>
      </c>
      <c r="C64" s="0" t="s">
        <v>67</v>
      </c>
      <c r="E64" s="0" t="n">
        <f aca="false">(E61*precio_entrada+E62*precio_salida)/tokens_por_millon+E63*precio_busqueda</f>
        <v>0.012744</v>
      </c>
      <c r="F64" s="0" t="n">
        <f aca="false">(F61*precio_entrada+F62*precio_salida)/tokens_por_millon+F63*precio_busqueda</f>
        <v>0.024644</v>
      </c>
      <c r="G64" s="0" t="n">
        <f aca="false">(G61*precio_entrada+G62*precio_salida)/tokens_por_millon+G63*precio_busqueda</f>
        <v>0.037964</v>
      </c>
      <c r="H64" s="0" t="s">
        <v>55</v>
      </c>
    </row>
    <row r="65" customFormat="false" ht="15" hidden="false" customHeight="false" outlineLevel="0" collapsed="false">
      <c r="A65" s="0" t="s">
        <v>145</v>
      </c>
      <c r="B65" s="0" t="s">
        <v>146</v>
      </c>
      <c r="C65" s="0" t="s">
        <v>98</v>
      </c>
      <c r="E65" s="0" t="n">
        <v>5000</v>
      </c>
      <c r="F65" s="0" t="n">
        <v>2000</v>
      </c>
      <c r="G65" s="0" t="n">
        <v>500</v>
      </c>
      <c r="H65" s="0" t="s">
        <v>17</v>
      </c>
    </row>
    <row r="66" customFormat="false" ht="15" hidden="false" customHeight="false" outlineLevel="0" collapsed="false">
      <c r="B66" s="0" t="s">
        <v>147</v>
      </c>
      <c r="C66" s="0" t="s">
        <v>98</v>
      </c>
      <c r="E66" s="0" t="n">
        <v>20000</v>
      </c>
      <c r="F66" s="0" t="n">
        <v>8000</v>
      </c>
      <c r="G66" s="0" t="n">
        <v>2000</v>
      </c>
      <c r="H66" s="0" t="s">
        <v>17</v>
      </c>
    </row>
    <row r="67" customFormat="false" ht="15" hidden="false" customHeight="false" outlineLevel="0" collapsed="false">
      <c r="B67" s="0" t="s">
        <v>148</v>
      </c>
      <c r="C67" s="0" t="s">
        <v>98</v>
      </c>
      <c r="E67" s="0" t="n">
        <v>50000</v>
      </c>
      <c r="F67" s="0" t="n">
        <v>20000</v>
      </c>
      <c r="G67" s="0" t="n">
        <v>5000</v>
      </c>
      <c r="H67" s="0" t="s">
        <v>17</v>
      </c>
    </row>
    <row r="68" customFormat="false" ht="15" hidden="false" customHeight="false" outlineLevel="0" collapsed="false">
      <c r="B68" s="0" t="s">
        <v>149</v>
      </c>
      <c r="C68" s="0" t="s">
        <v>98</v>
      </c>
      <c r="E68" s="0" t="n">
        <v>100000</v>
      </c>
      <c r="F68" s="0" t="n">
        <v>40000</v>
      </c>
      <c r="G68" s="0" t="n">
        <v>8000</v>
      </c>
      <c r="H68" s="0" t="s">
        <v>17</v>
      </c>
    </row>
    <row r="69" customFormat="false" ht="15" hidden="false" customHeight="false" outlineLevel="0" collapsed="false">
      <c r="B69" s="0" t="s">
        <v>150</v>
      </c>
      <c r="C69" s="0" t="s">
        <v>98</v>
      </c>
      <c r="E69" s="0" t="n">
        <v>150000</v>
      </c>
      <c r="F69" s="0" t="n">
        <v>60000</v>
      </c>
      <c r="G69" s="0" t="n">
        <v>10000</v>
      </c>
      <c r="H69" s="0" t="s">
        <v>17</v>
      </c>
    </row>
    <row r="70" customFormat="false" ht="15" hidden="false" customHeight="false" outlineLevel="0" collapsed="false">
      <c r="A70" s="0" t="s">
        <v>151</v>
      </c>
      <c r="B70" s="0" t="s">
        <v>152</v>
      </c>
      <c r="C70" s="0" t="s">
        <v>153</v>
      </c>
      <c r="E70" s="0" t="n">
        <v>20</v>
      </c>
      <c r="F70" s="0" t="n">
        <v>12</v>
      </c>
      <c r="G70" s="0" t="n">
        <v>6</v>
      </c>
      <c r="H70" s="0" t="s">
        <v>17</v>
      </c>
    </row>
    <row r="71" customFormat="false" ht="15" hidden="false" customHeight="false" outlineLevel="0" collapsed="false">
      <c r="A71" s="0" t="s">
        <v>154</v>
      </c>
      <c r="B71" s="0" t="s">
        <v>155</v>
      </c>
      <c r="C71" s="0" t="s">
        <v>153</v>
      </c>
      <c r="D71" s="0" t="n">
        <v>20</v>
      </c>
      <c r="H71" s="0" t="s">
        <v>17</v>
      </c>
    </row>
    <row r="72" customFormat="false" ht="15" hidden="false" customHeight="false" outlineLevel="0" collapsed="false">
      <c r="A72" s="0" t="s">
        <v>156</v>
      </c>
      <c r="B72" s="0" t="s">
        <v>157</v>
      </c>
      <c r="C72" s="0" t="s">
        <v>33</v>
      </c>
      <c r="E72" s="0" t="n">
        <v>0.3</v>
      </c>
      <c r="F72" s="0" t="n">
        <v>0.2</v>
      </c>
      <c r="G72" s="0" t="n">
        <v>0.1</v>
      </c>
      <c r="H72" s="0" t="s">
        <v>17</v>
      </c>
    </row>
    <row r="73" customFormat="false" ht="15" hidden="false" customHeight="false" outlineLevel="0" collapsed="false">
      <c r="A73" s="0" t="s">
        <v>158</v>
      </c>
      <c r="B73" s="0" t="s">
        <v>159</v>
      </c>
      <c r="C73" s="0" t="s">
        <v>160</v>
      </c>
      <c r="E73" s="0" t="n">
        <v>2000</v>
      </c>
      <c r="F73" s="0" t="n">
        <v>4000</v>
      </c>
      <c r="G73" s="0" t="n">
        <v>8000</v>
      </c>
      <c r="H73" s="0" t="s">
        <v>17</v>
      </c>
    </row>
    <row r="74" customFormat="false" ht="15" hidden="false" customHeight="false" outlineLevel="0" collapsed="false">
      <c r="A74" s="0" t="s">
        <v>161</v>
      </c>
      <c r="B74" s="0" t="s">
        <v>162</v>
      </c>
      <c r="C74" s="0" t="s">
        <v>160</v>
      </c>
      <c r="E74" s="0" t="n">
        <v>20000</v>
      </c>
      <c r="F74" s="0" t="n">
        <v>40000</v>
      </c>
      <c r="G74" s="0" t="n">
        <v>80000</v>
      </c>
      <c r="H74" s="0" t="s">
        <v>17</v>
      </c>
    </row>
    <row r="76" customFormat="false" ht="15" hidden="false" customHeight="false" outlineLevel="0" collapsed="false">
      <c r="A76" s="1" t="s">
        <v>163</v>
      </c>
    </row>
    <row r="77" customFormat="false" ht="15" hidden="false" customHeight="false" outlineLevel="0" collapsed="false">
      <c r="A77" s="0" t="s">
        <v>164</v>
      </c>
      <c r="B77" s="0" t="s">
        <v>165</v>
      </c>
      <c r="C77" s="0" t="s">
        <v>166</v>
      </c>
      <c r="D77" s="0" t="n">
        <v>10</v>
      </c>
      <c r="H77" s="0" t="s">
        <v>167</v>
      </c>
    </row>
    <row r="78" customFormat="false" ht="15" hidden="false" customHeight="false" outlineLevel="0" collapsed="false">
      <c r="A78" s="0" t="s">
        <v>168</v>
      </c>
      <c r="B78" s="0" t="s">
        <v>169</v>
      </c>
      <c r="C78" s="0" t="s">
        <v>166</v>
      </c>
      <c r="D78" s="0" t="n">
        <v>93</v>
      </c>
      <c r="H78" s="0" t="s">
        <v>170</v>
      </c>
    </row>
    <row r="79" customFormat="false" ht="15" hidden="false" customHeight="false" outlineLevel="0" collapsed="false">
      <c r="A79" s="0" t="s">
        <v>171</v>
      </c>
      <c r="B79" s="0" t="s">
        <v>172</v>
      </c>
      <c r="C79" s="0" t="s">
        <v>166</v>
      </c>
      <c r="D79" s="0" t="n">
        <v>3</v>
      </c>
      <c r="H79" s="0" t="s">
        <v>173</v>
      </c>
    </row>
    <row r="80" customFormat="false" ht="15" hidden="false" customHeight="false" outlineLevel="0" collapsed="false">
      <c r="A80" s="0" t="s">
        <v>174</v>
      </c>
      <c r="B80" s="0" t="s">
        <v>175</v>
      </c>
      <c r="C80" s="0" t="s">
        <v>166</v>
      </c>
      <c r="D80" s="0" t="n">
        <v>149</v>
      </c>
      <c r="H80" s="0" t="s">
        <v>176</v>
      </c>
    </row>
    <row r="81" customFormat="false" ht="15" hidden="false" customHeight="false" outlineLevel="0" collapsed="false">
      <c r="A81" s="0" t="s">
        <v>177</v>
      </c>
      <c r="B81" s="0" t="s">
        <v>178</v>
      </c>
      <c r="C81" s="0" t="s">
        <v>166</v>
      </c>
      <c r="D81" s="0" t="n">
        <v>32</v>
      </c>
      <c r="H81" s="0" t="s">
        <v>179</v>
      </c>
    </row>
    <row r="82" customFormat="false" ht="15" hidden="false" customHeight="false" outlineLevel="0" collapsed="false">
      <c r="A82" s="0" t="s">
        <v>180</v>
      </c>
      <c r="B82" s="0" t="s">
        <v>181</v>
      </c>
      <c r="C82" s="0" t="s">
        <v>166</v>
      </c>
      <c r="D82" s="0" t="n">
        <v>120</v>
      </c>
      <c r="H82" s="0" t="s">
        <v>182</v>
      </c>
    </row>
    <row r="83" customFormat="false" ht="15" hidden="false" customHeight="false" outlineLevel="0" collapsed="false">
      <c r="A83" s="0" t="s">
        <v>183</v>
      </c>
      <c r="B83" s="0" t="s">
        <v>184</v>
      </c>
      <c r="C83" s="0" t="s">
        <v>54</v>
      </c>
      <c r="E83" s="0" t="n">
        <v>3000</v>
      </c>
      <c r="F83" s="0" t="n">
        <v>2500</v>
      </c>
      <c r="G83" s="0" t="n">
        <v>1500</v>
      </c>
      <c r="H83" s="0" t="s">
        <v>185</v>
      </c>
    </row>
    <row r="84" customFormat="false" ht="15" hidden="false" customHeight="false" outlineLevel="0" collapsed="false">
      <c r="A84" s="0" t="s">
        <v>186</v>
      </c>
      <c r="B84" s="0" t="s">
        <v>187</v>
      </c>
      <c r="C84" s="0" t="s">
        <v>54</v>
      </c>
      <c r="D84" s="0" t="n">
        <v>200</v>
      </c>
      <c r="H84" s="0" t="s">
        <v>185</v>
      </c>
    </row>
    <row r="85" customFormat="false" ht="15" hidden="false" customHeight="false" outlineLevel="0" collapsed="false">
      <c r="A85" s="0" t="s">
        <v>188</v>
      </c>
      <c r="B85" s="0" t="s">
        <v>189</v>
      </c>
      <c r="C85" s="0" t="s">
        <v>54</v>
      </c>
      <c r="D85" s="0" t="n">
        <v>500</v>
      </c>
      <c r="H85" s="0" t="s">
        <v>185</v>
      </c>
    </row>
    <row r="86" customFormat="false" ht="15" hidden="false" customHeight="false" outlineLevel="0" collapsed="false">
      <c r="A86" s="0" t="s">
        <v>190</v>
      </c>
      <c r="B86" s="0" t="s">
        <v>191</v>
      </c>
      <c r="C86" s="0" t="s">
        <v>54</v>
      </c>
      <c r="D86" s="0" t="n">
        <v>100</v>
      </c>
      <c r="H86" s="0" t="s">
        <v>185</v>
      </c>
    </row>
    <row r="87" customFormat="false" ht="15" hidden="false" customHeight="false" outlineLevel="0" collapsed="false">
      <c r="A87" s="0" t="s">
        <v>192</v>
      </c>
      <c r="B87" s="0" t="s">
        <v>193</v>
      </c>
      <c r="C87" s="0" t="s">
        <v>194</v>
      </c>
      <c r="E87" s="0" t="n">
        <v>30000</v>
      </c>
      <c r="F87" s="0" t="n">
        <v>20000</v>
      </c>
      <c r="G87" s="0" t="n">
        <v>10000</v>
      </c>
      <c r="H87" s="0" t="s">
        <v>185</v>
      </c>
    </row>
    <row r="88" customFormat="false" ht="15" hidden="false" customHeight="false" outlineLevel="0" collapsed="false">
      <c r="A88" s="0" t="s">
        <v>195</v>
      </c>
      <c r="B88" s="0" t="s">
        <v>196</v>
      </c>
      <c r="C88" s="0" t="s">
        <v>54</v>
      </c>
      <c r="E88" s="0" t="n">
        <v>3000</v>
      </c>
      <c r="F88" s="0" t="n">
        <v>2500</v>
      </c>
      <c r="G88" s="0" t="n">
        <v>1500</v>
      </c>
      <c r="H88" s="0" t="s">
        <v>185</v>
      </c>
    </row>
    <row r="89" customFormat="false" ht="15" hidden="false" customHeight="false" outlineLevel="0" collapsed="false">
      <c r="A89" s="0" t="s">
        <v>197</v>
      </c>
      <c r="B89" s="0" t="s">
        <v>198</v>
      </c>
      <c r="C89" s="0" t="s">
        <v>16</v>
      </c>
      <c r="E89" s="0" t="n">
        <v>1</v>
      </c>
      <c r="F89" s="0" t="n">
        <v>2</v>
      </c>
      <c r="G89" s="0" t="n">
        <v>3</v>
      </c>
      <c r="H89" s="0" t="s">
        <v>17</v>
      </c>
    </row>
    <row r="90" customFormat="false" ht="15" hidden="false" customHeight="false" outlineLevel="0" collapsed="false">
      <c r="A90" s="0" t="s">
        <v>199</v>
      </c>
      <c r="B90" s="0" t="s">
        <v>200</v>
      </c>
      <c r="C90" s="0" t="s">
        <v>33</v>
      </c>
      <c r="E90" s="0" t="n">
        <v>0.2</v>
      </c>
      <c r="F90" s="0" t="n">
        <v>0.1</v>
      </c>
      <c r="G90" s="0" t="n">
        <v>0.05</v>
      </c>
      <c r="H90" s="0" t="s">
        <v>17</v>
      </c>
    </row>
    <row r="91" customFormat="false" ht="15" hidden="false" customHeight="false" outlineLevel="0" collapsed="false">
      <c r="A91" s="0" t="s">
        <v>201</v>
      </c>
      <c r="B91" s="0" t="s">
        <v>202</v>
      </c>
      <c r="C91" s="0" t="s">
        <v>33</v>
      </c>
      <c r="E91" s="0" t="n">
        <v>0.1</v>
      </c>
      <c r="F91" s="0" t="n">
        <v>0.05</v>
      </c>
      <c r="G91" s="0" t="n">
        <v>0.02</v>
      </c>
      <c r="H91" s="0" t="s">
        <v>17</v>
      </c>
    </row>
    <row r="92" customFormat="false" ht="15" hidden="false" customHeight="false" outlineLevel="0" collapsed="false">
      <c r="A92" s="0" t="s">
        <v>203</v>
      </c>
      <c r="B92" s="0" t="s">
        <v>204</v>
      </c>
      <c r="C92" s="0" t="s">
        <v>33</v>
      </c>
      <c r="E92" s="0" t="n">
        <v>0.4</v>
      </c>
      <c r="F92" s="0" t="n">
        <v>0.3</v>
      </c>
      <c r="G92" s="0" t="n">
        <v>0.2</v>
      </c>
      <c r="H92" s="0" t="s">
        <v>17</v>
      </c>
    </row>
    <row r="93" customFormat="false" ht="15" hidden="false" customHeight="false" outlineLevel="0" collapsed="false">
      <c r="A93" s="0" t="s">
        <v>205</v>
      </c>
      <c r="B93" s="0" t="s">
        <v>206</v>
      </c>
      <c r="C93" s="0" t="s">
        <v>33</v>
      </c>
      <c r="E93" s="0" t="n">
        <v>0.08</v>
      </c>
      <c r="F93" s="0" t="n">
        <v>0.04</v>
      </c>
      <c r="G93" s="0" t="n">
        <v>0.02</v>
      </c>
      <c r="H93" s="0" t="s">
        <v>17</v>
      </c>
    </row>
    <row r="94" customFormat="false" ht="15" hidden="false" customHeight="false" outlineLevel="0" collapsed="false">
      <c r="A94" s="0" t="s">
        <v>207</v>
      </c>
      <c r="B94" s="0" t="s">
        <v>208</v>
      </c>
      <c r="C94" s="0" t="s">
        <v>33</v>
      </c>
      <c r="E94" s="0" t="n">
        <v>0.1</v>
      </c>
      <c r="F94" s="0" t="n">
        <v>0.06</v>
      </c>
      <c r="G94" s="0" t="n">
        <v>0.03</v>
      </c>
      <c r="H94" s="0" t="s">
        <v>17</v>
      </c>
    </row>
    <row r="95" customFormat="false" ht="15" hidden="false" customHeight="false" outlineLevel="0" collapsed="false">
      <c r="A95" s="0" t="s">
        <v>209</v>
      </c>
      <c r="B95" s="0" t="s">
        <v>210</v>
      </c>
      <c r="C95" s="0" t="s">
        <v>33</v>
      </c>
      <c r="E95" s="0" t="n">
        <v>0.05</v>
      </c>
      <c r="F95" s="0" t="n">
        <v>0.02</v>
      </c>
      <c r="G95" s="0" t="n">
        <v>0.01</v>
      </c>
      <c r="H95" s="0" t="s">
        <v>17</v>
      </c>
    </row>
    <row r="96" customFormat="false" ht="15" hidden="false" customHeight="false" outlineLevel="0" collapsed="false">
      <c r="A96" s="0" t="s">
        <v>211</v>
      </c>
      <c r="B96" s="0" t="s">
        <v>212</v>
      </c>
      <c r="C96" s="0" t="s">
        <v>33</v>
      </c>
      <c r="E96" s="0" t="n">
        <v>0.1</v>
      </c>
      <c r="F96" s="0" t="n">
        <v>0.15</v>
      </c>
      <c r="G96" s="0" t="n">
        <v>0.25</v>
      </c>
      <c r="H96" s="0" t="s">
        <v>17</v>
      </c>
    </row>
    <row r="97" customFormat="false" ht="15" hidden="false" customHeight="false" outlineLevel="0" collapsed="false">
      <c r="A97" s="0" t="s">
        <v>213</v>
      </c>
      <c r="B97" s="0" t="s">
        <v>214</v>
      </c>
      <c r="C97" s="0" t="s">
        <v>33</v>
      </c>
      <c r="E97" s="0" t="n">
        <v>0.15</v>
      </c>
      <c r="F97" s="0" t="n">
        <v>0.2</v>
      </c>
      <c r="G97" s="0" t="n">
        <v>0.3</v>
      </c>
      <c r="H97" s="0" t="s">
        <v>17</v>
      </c>
    </row>
    <row r="98" customFormat="false" ht="15" hidden="false" customHeight="false" outlineLevel="0" collapsed="false">
      <c r="A98" s="0" t="s">
        <v>215</v>
      </c>
      <c r="B98" s="0" t="s">
        <v>216</v>
      </c>
      <c r="C98" s="0" t="s">
        <v>33</v>
      </c>
      <c r="E98" s="0" t="n">
        <v>0</v>
      </c>
      <c r="F98" s="0" t="n">
        <v>0.1</v>
      </c>
      <c r="G98" s="0" t="n">
        <v>0.2</v>
      </c>
      <c r="H98" s="0" t="s">
        <v>17</v>
      </c>
    </row>
    <row r="99" customFormat="false" ht="15" hidden="false" customHeight="false" outlineLevel="0" collapsed="false">
      <c r="A99" s="0" t="s">
        <v>217</v>
      </c>
      <c r="B99" s="0" t="s">
        <v>218</v>
      </c>
      <c r="C99" s="0" t="s">
        <v>33</v>
      </c>
      <c r="E99" s="0" t="n">
        <v>0.05</v>
      </c>
      <c r="F99" s="0" t="n">
        <v>0.1</v>
      </c>
      <c r="G99" s="0" t="n">
        <v>0.15</v>
      </c>
      <c r="H99" s="0" t="s">
        <v>17</v>
      </c>
    </row>
    <row r="100" customFormat="false" ht="15" hidden="false" customHeight="false" outlineLevel="0" collapsed="false">
      <c r="A100" s="0" t="s">
        <v>219</v>
      </c>
      <c r="B100" s="0" t="s">
        <v>220</v>
      </c>
      <c r="C100" s="0" t="s">
        <v>33</v>
      </c>
      <c r="E100" s="0" t="n">
        <v>0.15</v>
      </c>
      <c r="F100" s="0" t="n">
        <v>0.2</v>
      </c>
      <c r="G100" s="0" t="n">
        <v>0.3</v>
      </c>
      <c r="H100" s="0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1" t="s">
        <v>221</v>
      </c>
    </row>
    <row r="2" customFormat="false" ht="15" hidden="false" customHeight="false" outlineLevel="0" collapsed="false">
      <c r="A2" s="0" t="s">
        <v>222</v>
      </c>
      <c r="B2" s="0" t="n">
        <v>2</v>
      </c>
    </row>
    <row r="3" customFormat="false" ht="15" hidden="false" customHeight="false" outlineLevel="0" collapsed="false">
      <c r="A3" s="0" t="s">
        <v>223</v>
      </c>
      <c r="B3" s="0" t="n">
        <f aca="false">COLUMN()-2</f>
        <v>0</v>
      </c>
      <c r="C3" s="0" t="n">
        <f aca="false">COLUMN()-2</f>
        <v>1</v>
      </c>
      <c r="D3" s="0" t="n">
        <f aca="false">COLUMN()-2</f>
        <v>2</v>
      </c>
      <c r="E3" s="0" t="n">
        <f aca="false">COLUMN()-2</f>
        <v>3</v>
      </c>
      <c r="F3" s="0" t="n">
        <f aca="false">COLUMN()-2</f>
        <v>4</v>
      </c>
      <c r="G3" s="0" t="n">
        <f aca="false">COLUMN()-2</f>
        <v>5</v>
      </c>
    </row>
    <row r="4" customFormat="false" ht="15" hidden="false" customHeight="false" outlineLevel="0" collapsed="false">
      <c r="A4" s="0" t="s">
        <v>224</v>
      </c>
      <c r="B4" s="0" t="n">
        <f aca="false">anio_0+B$3</f>
        <v>2026</v>
      </c>
      <c r="C4" s="0" t="n">
        <f aca="false">anio_0+C$3</f>
        <v>2027</v>
      </c>
      <c r="D4" s="0" t="n">
        <f aca="false">anio_0+D$3</f>
        <v>2028</v>
      </c>
      <c r="E4" s="0" t="n">
        <f aca="false">anio_0+E$3</f>
        <v>2029</v>
      </c>
      <c r="F4" s="0" t="n">
        <f aca="false">anio_0+F$3</f>
        <v>2030</v>
      </c>
      <c r="G4" s="0" t="n">
        <f aca="false">anio_0+G$3</f>
        <v>2031</v>
      </c>
    </row>
    <row r="5" customFormat="false" ht="15" hidden="false" customHeight="false" outlineLevel="0" collapsed="false">
      <c r="A5" s="0" t="s">
        <v>225</v>
      </c>
      <c r="B5" s="0" t="n">
        <f aca="false">INDEX(anio_electoral,B$3+1)</f>
        <v>0</v>
      </c>
      <c r="C5" s="0" t="n">
        <f aca="false">INDEX(anio_electoral,C$3+1)</f>
        <v>1</v>
      </c>
      <c r="D5" s="0" t="n">
        <f aca="false">INDEX(anio_electoral,D$3+1)</f>
        <v>0</v>
      </c>
      <c r="E5" s="0" t="n">
        <f aca="false">INDEX(anio_electoral,E$3+1)</f>
        <v>1</v>
      </c>
      <c r="F5" s="0" t="n">
        <f aca="false">INDEX(anio_electoral,F$3+1)</f>
        <v>0</v>
      </c>
      <c r="G5" s="0" t="n">
        <f aca="false">INDEX(anio_electoral,G$3+1)</f>
        <v>1</v>
      </c>
    </row>
    <row r="6" customFormat="false" ht="15" hidden="false" customHeight="false" outlineLevel="0" collapsed="false">
      <c r="A6" s="0" t="s">
        <v>226</v>
      </c>
      <c r="B6" s="0" t="n">
        <f aca="false">IF(B$3&gt;=INDEX(anio_inicio_b2b,1,$B$2),1,0)</f>
        <v>0</v>
      </c>
      <c r="C6" s="0" t="n">
        <f aca="false">IF(C$3&gt;=INDEX(anio_inicio_b2b,1,$B$2),1,0)</f>
        <v>0</v>
      </c>
      <c r="D6" s="0" t="n">
        <f aca="false">IF(D$3&gt;=INDEX(anio_inicio_b2b,1,$B$2),1,0)</f>
        <v>1</v>
      </c>
      <c r="E6" s="0" t="n">
        <f aca="false">IF(E$3&gt;=INDEX(anio_inicio_b2b,1,$B$2),1,0)</f>
        <v>1</v>
      </c>
      <c r="F6" s="0" t="n">
        <f aca="false">IF(F$3&gt;=INDEX(anio_inicio_b2b,1,$B$2),1,0)</f>
        <v>1</v>
      </c>
      <c r="G6" s="0" t="n">
        <f aca="false">IF(G$3&gt;=INDEX(anio_inicio_b2b,1,$B$2),1,0)</f>
        <v>1</v>
      </c>
    </row>
    <row r="7" customFormat="false" ht="15" hidden="false" customHeight="false" outlineLevel="0" collapsed="false">
      <c r="A7" s="0" t="s">
        <v>227</v>
      </c>
      <c r="C7" s="0" t="n">
        <f aca="false">INDEX(usuarios_activos,C$3,$B$2)</f>
        <v>2000</v>
      </c>
      <c r="D7" s="0" t="n">
        <f aca="false">INDEX(usuarios_activos,D$3,$B$2)</f>
        <v>8000</v>
      </c>
      <c r="E7" s="0" t="n">
        <f aca="false">INDEX(usuarios_activos,E$3,$B$2)</f>
        <v>20000</v>
      </c>
      <c r="F7" s="0" t="n">
        <f aca="false">INDEX(usuarios_activos,F$3,$B$2)</f>
        <v>40000</v>
      </c>
      <c r="G7" s="0" t="n">
        <f aca="false">INDEX(usuarios_activos,G$3,$B$2)</f>
        <v>60000</v>
      </c>
    </row>
    <row r="9" customFormat="false" ht="15" hidden="false" customHeight="false" outlineLevel="0" collapsed="false">
      <c r="A9" s="1" t="s">
        <v>163</v>
      </c>
    </row>
    <row r="10" customFormat="false" ht="15" hidden="false" customHeight="false" outlineLevel="0" collapsed="false">
      <c r="A10" s="0" t="s">
        <v>228</v>
      </c>
      <c r="C10" s="0" t="n">
        <f aca="false">N(B13)</f>
        <v>0</v>
      </c>
      <c r="D10" s="0" t="n">
        <f aca="false">N(C13)</f>
        <v>0</v>
      </c>
      <c r="E10" s="0" t="n">
        <f aca="false">N(D13)</f>
        <v>1</v>
      </c>
      <c r="F10" s="0" t="n">
        <f aca="false">N(E13)</f>
        <v>2</v>
      </c>
      <c r="G10" s="0" t="n">
        <f aca="false">N(F13)</f>
        <v>3</v>
      </c>
    </row>
    <row r="11" customFormat="false" ht="15" hidden="false" customHeight="false" outlineLevel="0" collapsed="false">
      <c r="A11" s="0" t="s">
        <v>229</v>
      </c>
      <c r="C11" s="0" t="n">
        <f aca="false">ROUND(INDEX(churn_medios_grandes,1,$B$2)*C10,0)</f>
        <v>0</v>
      </c>
      <c r="D11" s="0" t="n">
        <f aca="false">ROUND(INDEX(churn_medios_grandes,1,$B$2)*D10,0)</f>
        <v>0</v>
      </c>
      <c r="E11" s="0" t="n">
        <f aca="false">ROUND(INDEX(churn_medios_grandes,1,$B$2)*E10,0)</f>
        <v>0</v>
      </c>
      <c r="F11" s="0" t="n">
        <f aca="false">ROUND(INDEX(churn_medios_grandes,1,$B$2)*F10,0)</f>
        <v>0</v>
      </c>
      <c r="G11" s="0" t="n">
        <f aca="false">ROUND(INDEX(churn_medios_grandes,1,$B$2)*G10,0)</f>
        <v>0</v>
      </c>
    </row>
    <row r="12" customFormat="false" ht="15" hidden="false" customHeight="false" outlineLevel="0" collapsed="false">
      <c r="A12" s="0" t="s">
        <v>230</v>
      </c>
      <c r="C12" s="0" t="n">
        <f aca="false">C6*ROUND(INDEX(capt_medios_grandes,1,$B$2)*(u_medios_grandes-C10),0)</f>
        <v>0</v>
      </c>
      <c r="D12" s="0" t="n">
        <f aca="false">D6*ROUND(INDEX(capt_medios_grandes,1,$B$2)*(u_medios_grandes-D10),0)</f>
        <v>1</v>
      </c>
      <c r="E12" s="0" t="n">
        <f aca="false">E6*ROUND(INDEX(capt_medios_grandes,1,$B$2)*(u_medios_grandes-E10),0)</f>
        <v>1</v>
      </c>
      <c r="F12" s="0" t="n">
        <f aca="false">F6*ROUND(INDEX(capt_medios_grandes,1,$B$2)*(u_medios_grandes-F10),0)</f>
        <v>1</v>
      </c>
      <c r="G12" s="0" t="n">
        <f aca="false">G6*ROUND(INDEX(capt_medios_grandes,1,$B$2)*(u_medios_grandes-G10),0)</f>
        <v>1</v>
      </c>
    </row>
    <row r="13" customFormat="false" ht="15" hidden="false" customHeight="false" outlineLevel="0" collapsed="false">
      <c r="A13" s="0" t="s">
        <v>231</v>
      </c>
      <c r="C13" s="0" t="n">
        <f aca="false">C10+C12-C11</f>
        <v>0</v>
      </c>
      <c r="D13" s="0" t="n">
        <f aca="false">D10+D12-D11</f>
        <v>1</v>
      </c>
      <c r="E13" s="0" t="n">
        <f aca="false">E10+E12-E11</f>
        <v>2</v>
      </c>
      <c r="F13" s="0" t="n">
        <f aca="false">F10+F12-F11</f>
        <v>3</v>
      </c>
      <c r="G13" s="0" t="n">
        <f aca="false">G10+G12-G11</f>
        <v>4</v>
      </c>
    </row>
    <row r="14" customFormat="false" ht="15" hidden="false" customHeight="false" outlineLevel="0" collapsed="false">
      <c r="A14" s="0" t="s">
        <v>232</v>
      </c>
      <c r="C14" s="0" t="n">
        <f aca="false">(C10+C13)/2</f>
        <v>0</v>
      </c>
      <c r="D14" s="0" t="n">
        <f aca="false">(D10+D13)/2</f>
        <v>0.5</v>
      </c>
      <c r="E14" s="0" t="n">
        <f aca="false">(E10+E13)/2</f>
        <v>1.5</v>
      </c>
      <c r="F14" s="0" t="n">
        <f aca="false">(F10+F13)/2</f>
        <v>2.5</v>
      </c>
      <c r="G14" s="0" t="n">
        <f aca="false">(G10+G13)/2</f>
        <v>3.5</v>
      </c>
    </row>
    <row r="15" customFormat="false" ht="15" hidden="false" customHeight="false" outlineLevel="0" collapsed="false">
      <c r="A15" s="0" t="s">
        <v>233</v>
      </c>
      <c r="C15" s="0" t="n">
        <f aca="false">N(B18)</f>
        <v>0</v>
      </c>
      <c r="D15" s="0" t="n">
        <f aca="false">N(C18)</f>
        <v>0</v>
      </c>
      <c r="E15" s="0" t="n">
        <f aca="false">N(D18)</f>
        <v>5</v>
      </c>
      <c r="F15" s="0" t="n">
        <f aca="false">N(E18)</f>
        <v>8</v>
      </c>
      <c r="G15" s="0" t="n">
        <f aca="false">N(F18)</f>
        <v>10</v>
      </c>
    </row>
    <row r="16" customFormat="false" ht="15" hidden="false" customHeight="false" outlineLevel="0" collapsed="false">
      <c r="A16" s="0" t="s">
        <v>234</v>
      </c>
      <c r="C16" s="0" t="n">
        <f aca="false">ROUND(INDEX(churn_medios_chicos,1,$B$2)*C15,0)</f>
        <v>0</v>
      </c>
      <c r="D16" s="0" t="n">
        <f aca="false">ROUND(INDEX(churn_medios_chicos,1,$B$2)*D15,0)</f>
        <v>0</v>
      </c>
      <c r="E16" s="0" t="n">
        <f aca="false">ROUND(INDEX(churn_medios_chicos,1,$B$2)*E15,0)</f>
        <v>1</v>
      </c>
      <c r="F16" s="0" t="n">
        <f aca="false">ROUND(INDEX(churn_medios_chicos,1,$B$2)*F15,0)</f>
        <v>2</v>
      </c>
      <c r="G16" s="0" t="n">
        <f aca="false">ROUND(INDEX(churn_medios_chicos,1,$B$2)*G15,0)</f>
        <v>2</v>
      </c>
    </row>
    <row r="17" customFormat="false" ht="15" hidden="false" customHeight="false" outlineLevel="0" collapsed="false">
      <c r="A17" s="0" t="s">
        <v>235</v>
      </c>
      <c r="C17" s="0" t="n">
        <f aca="false">C6*ROUND(INDEX(capt_medios_chicos,1,$B$2)*(u_medios_chicos-C15),0)</f>
        <v>0</v>
      </c>
      <c r="D17" s="0" t="n">
        <f aca="false">D6*ROUND(INDEX(capt_medios_chicos,1,$B$2)*(u_medios_chicos-D15),0)</f>
        <v>5</v>
      </c>
      <c r="E17" s="0" t="n">
        <f aca="false">E6*ROUND(INDEX(capt_medios_chicos,1,$B$2)*(u_medios_chicos-E15),0)</f>
        <v>4</v>
      </c>
      <c r="F17" s="0" t="n">
        <f aca="false">F6*ROUND(INDEX(capt_medios_chicos,1,$B$2)*(u_medios_chicos-F15),0)</f>
        <v>4</v>
      </c>
      <c r="G17" s="0" t="n">
        <f aca="false">G6*ROUND(INDEX(capt_medios_chicos,1,$B$2)*(u_medios_chicos-G15),0)</f>
        <v>4</v>
      </c>
    </row>
    <row r="18" customFormat="false" ht="15" hidden="false" customHeight="false" outlineLevel="0" collapsed="false">
      <c r="A18" s="0" t="s">
        <v>236</v>
      </c>
      <c r="C18" s="0" t="n">
        <f aca="false">C15+C17-C16</f>
        <v>0</v>
      </c>
      <c r="D18" s="0" t="n">
        <f aca="false">D15+D17-D16</f>
        <v>5</v>
      </c>
      <c r="E18" s="0" t="n">
        <f aca="false">E15+E17-E16</f>
        <v>8</v>
      </c>
      <c r="F18" s="0" t="n">
        <f aca="false">F15+F17-F16</f>
        <v>10</v>
      </c>
      <c r="G18" s="0" t="n">
        <f aca="false">G15+G17-G16</f>
        <v>12</v>
      </c>
    </row>
    <row r="19" customFormat="false" ht="15" hidden="false" customHeight="false" outlineLevel="0" collapsed="false">
      <c r="A19" s="0" t="s">
        <v>237</v>
      </c>
      <c r="C19" s="0" t="n">
        <f aca="false">(C15+C18)/2</f>
        <v>0</v>
      </c>
      <c r="D19" s="0" t="n">
        <f aca="false">(D15+D18)/2</f>
        <v>2.5</v>
      </c>
      <c r="E19" s="0" t="n">
        <f aca="false">(E15+E18)/2</f>
        <v>6.5</v>
      </c>
      <c r="F19" s="0" t="n">
        <f aca="false">(F15+F18)/2</f>
        <v>9</v>
      </c>
      <c r="G19" s="0" t="n">
        <f aca="false">(G15+G18)/2</f>
        <v>11</v>
      </c>
    </row>
    <row r="20" customFormat="false" ht="15" hidden="false" customHeight="false" outlineLevel="0" collapsed="false">
      <c r="A20" s="0" t="s">
        <v>238</v>
      </c>
      <c r="C20" s="0" t="n">
        <f aca="false">N(B23)</f>
        <v>0</v>
      </c>
      <c r="D20" s="0" t="n">
        <f aca="false">N(C23)</f>
        <v>0</v>
      </c>
      <c r="E20" s="0" t="n">
        <f aca="false">N(D23)</f>
        <v>1</v>
      </c>
      <c r="F20" s="0" t="n">
        <f aca="false">N(E23)</f>
        <v>2</v>
      </c>
      <c r="G20" s="0" t="n">
        <f aca="false">N(F23)</f>
        <v>2</v>
      </c>
    </row>
    <row r="21" customFormat="false" ht="15" hidden="false" customHeight="false" outlineLevel="0" collapsed="false">
      <c r="A21" s="0" t="s">
        <v>239</v>
      </c>
      <c r="C21" s="0" t="n">
        <f aca="false">ROUND(INDEX(churn_verificadores,1,$B$2)*C20,0)</f>
        <v>0</v>
      </c>
      <c r="D21" s="0" t="n">
        <f aca="false">ROUND(INDEX(churn_verificadores,1,$B$2)*D20,0)</f>
        <v>0</v>
      </c>
      <c r="E21" s="0" t="n">
        <f aca="false">ROUND(INDEX(churn_verificadores,1,$B$2)*E20,0)</f>
        <v>0</v>
      </c>
      <c r="F21" s="0" t="n">
        <f aca="false">ROUND(INDEX(churn_verificadores,1,$B$2)*F20,0)</f>
        <v>0</v>
      </c>
      <c r="G21" s="0" t="n">
        <f aca="false">ROUND(INDEX(churn_verificadores,1,$B$2)*G20,0)</f>
        <v>0</v>
      </c>
    </row>
    <row r="22" customFormat="false" ht="15" hidden="false" customHeight="false" outlineLevel="0" collapsed="false">
      <c r="A22" s="0" t="s">
        <v>240</v>
      </c>
      <c r="C22" s="0" t="n">
        <f aca="false">C6*ROUND(INDEX(capt_verificadores,1,$B$2)*(u_verificadores-C20),0)</f>
        <v>0</v>
      </c>
      <c r="D22" s="0" t="n">
        <f aca="false">D6*ROUND(INDEX(capt_verificadores,1,$B$2)*(u_verificadores-D20),0)</f>
        <v>1</v>
      </c>
      <c r="E22" s="0" t="n">
        <f aca="false">E6*ROUND(INDEX(capt_verificadores,1,$B$2)*(u_verificadores-E20),0)</f>
        <v>1</v>
      </c>
      <c r="F22" s="0" t="n">
        <f aca="false">F6*ROUND(INDEX(capt_verificadores,1,$B$2)*(u_verificadores-F20),0)</f>
        <v>0</v>
      </c>
      <c r="G22" s="0" t="n">
        <f aca="false">G6*ROUND(INDEX(capt_verificadores,1,$B$2)*(u_verificadores-G20),0)</f>
        <v>0</v>
      </c>
    </row>
    <row r="23" customFormat="false" ht="15" hidden="false" customHeight="false" outlineLevel="0" collapsed="false">
      <c r="A23" s="0" t="s">
        <v>241</v>
      </c>
      <c r="C23" s="0" t="n">
        <f aca="false">C20+C22-C21</f>
        <v>0</v>
      </c>
      <c r="D23" s="0" t="n">
        <f aca="false">D20+D22-D21</f>
        <v>1</v>
      </c>
      <c r="E23" s="0" t="n">
        <f aca="false">E20+E22-E21</f>
        <v>2</v>
      </c>
      <c r="F23" s="0" t="n">
        <f aca="false">F20+F22-F21</f>
        <v>2</v>
      </c>
      <c r="G23" s="0" t="n">
        <f aca="false">G20+G22-G21</f>
        <v>2</v>
      </c>
    </row>
    <row r="24" customFormat="false" ht="15" hidden="false" customHeight="false" outlineLevel="0" collapsed="false">
      <c r="A24" s="0" t="s">
        <v>242</v>
      </c>
      <c r="C24" s="0" t="n">
        <f aca="false">(C20+C23)/2</f>
        <v>0</v>
      </c>
      <c r="D24" s="0" t="n">
        <f aca="false">(D20+D23)/2</f>
        <v>0.5</v>
      </c>
      <c r="E24" s="0" t="n">
        <f aca="false">(E20+E23)/2</f>
        <v>1.5</v>
      </c>
      <c r="F24" s="0" t="n">
        <f aca="false">(F20+F23)/2</f>
        <v>2</v>
      </c>
      <c r="G24" s="0" t="n">
        <f aca="false">(G20+G23)/2</f>
        <v>2</v>
      </c>
    </row>
    <row r="25" customFormat="false" ht="15" hidden="false" customHeight="false" outlineLevel="0" collapsed="false">
      <c r="A25" s="0" t="s">
        <v>243</v>
      </c>
      <c r="C25" s="0" t="n">
        <f aca="false">N(B28)</f>
        <v>0</v>
      </c>
      <c r="D25" s="0" t="n">
        <f aca="false">N(C28)</f>
        <v>0</v>
      </c>
      <c r="E25" s="0" t="n">
        <f aca="false">N(D28)</f>
        <v>6</v>
      </c>
      <c r="F25" s="0" t="n">
        <f aca="false">N(E28)</f>
        <v>11</v>
      </c>
      <c r="G25" s="0" t="n">
        <f aca="false">N(F28)</f>
        <v>16</v>
      </c>
    </row>
    <row r="26" customFormat="false" ht="15" hidden="false" customHeight="false" outlineLevel="0" collapsed="false">
      <c r="A26" s="0" t="s">
        <v>244</v>
      </c>
      <c r="C26" s="0" t="n">
        <f aca="false">ROUND(INDEX(churn_universidades,1,$B$2)*C25,0)</f>
        <v>0</v>
      </c>
      <c r="D26" s="0" t="n">
        <f aca="false">ROUND(INDEX(churn_universidades,1,$B$2)*D25,0)</f>
        <v>0</v>
      </c>
      <c r="E26" s="0" t="n">
        <f aca="false">ROUND(INDEX(churn_universidades,1,$B$2)*E25,0)</f>
        <v>1</v>
      </c>
      <c r="F26" s="0" t="n">
        <f aca="false">ROUND(INDEX(churn_universidades,1,$B$2)*F25,0)</f>
        <v>1</v>
      </c>
      <c r="G26" s="0" t="n">
        <f aca="false">ROUND(INDEX(churn_universidades,1,$B$2)*G25,0)</f>
        <v>2</v>
      </c>
    </row>
    <row r="27" customFormat="false" ht="15" hidden="false" customHeight="false" outlineLevel="0" collapsed="false">
      <c r="A27" s="0" t="s">
        <v>245</v>
      </c>
      <c r="C27" s="0" t="n">
        <f aca="false">C6*ROUND(INDEX(capt_universidades,1,$B$2)*(u_universidades-C25),0)</f>
        <v>0</v>
      </c>
      <c r="D27" s="0" t="n">
        <f aca="false">D6*ROUND(INDEX(capt_universidades,1,$B$2)*(u_universidades-D25),0)</f>
        <v>6</v>
      </c>
      <c r="E27" s="0" t="n">
        <f aca="false">E6*ROUND(INDEX(capt_universidades,1,$B$2)*(u_universidades-E25),0)</f>
        <v>6</v>
      </c>
      <c r="F27" s="0" t="n">
        <f aca="false">F6*ROUND(INDEX(capt_universidades,1,$B$2)*(u_universidades-F25),0)</f>
        <v>6</v>
      </c>
      <c r="G27" s="0" t="n">
        <f aca="false">G6*ROUND(INDEX(capt_universidades,1,$B$2)*(u_universidades-G25),0)</f>
        <v>5</v>
      </c>
    </row>
    <row r="28" customFormat="false" ht="15" hidden="false" customHeight="false" outlineLevel="0" collapsed="false">
      <c r="A28" s="0" t="s">
        <v>246</v>
      </c>
      <c r="C28" s="0" t="n">
        <f aca="false">C25+C27-C26</f>
        <v>0</v>
      </c>
      <c r="D28" s="0" t="n">
        <f aca="false">D25+D27-D26</f>
        <v>6</v>
      </c>
      <c r="E28" s="0" t="n">
        <f aca="false">E25+E27-E26</f>
        <v>11</v>
      </c>
      <c r="F28" s="0" t="n">
        <f aca="false">F25+F27-F26</f>
        <v>16</v>
      </c>
      <c r="G28" s="0" t="n">
        <f aca="false">G25+G27-G26</f>
        <v>19</v>
      </c>
    </row>
    <row r="29" customFormat="false" ht="15" hidden="false" customHeight="false" outlineLevel="0" collapsed="false">
      <c r="A29" s="0" t="s">
        <v>247</v>
      </c>
      <c r="C29" s="0" t="n">
        <f aca="false">(C25+C28)/2</f>
        <v>0</v>
      </c>
      <c r="D29" s="0" t="n">
        <f aca="false">(D25+D28)/2</f>
        <v>3</v>
      </c>
      <c r="E29" s="0" t="n">
        <f aca="false">(E25+E28)/2</f>
        <v>8.5</v>
      </c>
      <c r="F29" s="0" t="n">
        <f aca="false">(F25+F28)/2</f>
        <v>13.5</v>
      </c>
      <c r="G29" s="0" t="n">
        <f aca="false">(G25+G28)/2</f>
        <v>17.5</v>
      </c>
    </row>
    <row r="30" customFormat="false" ht="15" hidden="false" customHeight="false" outlineLevel="0" collapsed="false">
      <c r="A30" s="0" t="s">
        <v>248</v>
      </c>
      <c r="C30" s="0" t="n">
        <f aca="false">N(B33)</f>
        <v>0</v>
      </c>
      <c r="D30" s="0" t="n">
        <f aca="false">N(C33)</f>
        <v>0</v>
      </c>
      <c r="E30" s="0" t="n">
        <f aca="false">N(D33)</f>
        <v>2</v>
      </c>
      <c r="F30" s="0" t="n">
        <f aca="false">N(E33)</f>
        <v>4</v>
      </c>
      <c r="G30" s="0" t="n">
        <f aca="false">N(F33)</f>
        <v>5</v>
      </c>
    </row>
    <row r="31" customFormat="false" ht="15" hidden="false" customHeight="false" outlineLevel="0" collapsed="false">
      <c r="A31" s="0" t="s">
        <v>249</v>
      </c>
      <c r="C31" s="0" t="n">
        <f aca="false">ROUND(INDEX(churn_agencias,1,$B$2)*C30,0)</f>
        <v>0</v>
      </c>
      <c r="D31" s="0" t="n">
        <f aca="false">ROUND(INDEX(churn_agencias,1,$B$2)*D30,0)</f>
        <v>0</v>
      </c>
      <c r="E31" s="0" t="n">
        <f aca="false">ROUND(INDEX(churn_agencias,1,$B$2)*E30,0)</f>
        <v>0</v>
      </c>
      <c r="F31" s="0" t="n">
        <f aca="false">ROUND(INDEX(churn_agencias,1,$B$2)*F30,0)</f>
        <v>1</v>
      </c>
      <c r="G31" s="0" t="n">
        <f aca="false">ROUND(INDEX(churn_agencias,1,$B$2)*G30,0)</f>
        <v>1</v>
      </c>
    </row>
    <row r="32" customFormat="false" ht="15" hidden="false" customHeight="false" outlineLevel="0" collapsed="false">
      <c r="A32" s="0" t="s">
        <v>250</v>
      </c>
      <c r="C32" s="0" t="n">
        <f aca="false">C6*ROUND(INDEX(capt_agencias,1,$B$2)*(u_agencias-C30),0)</f>
        <v>0</v>
      </c>
      <c r="D32" s="0" t="n">
        <f aca="false">D6*ROUND(INDEX(capt_agencias,1,$B$2)*(u_agencias-D30),0)</f>
        <v>2</v>
      </c>
      <c r="E32" s="0" t="n">
        <f aca="false">E6*ROUND(INDEX(capt_agencias,1,$B$2)*(u_agencias-E30),0)</f>
        <v>2</v>
      </c>
      <c r="F32" s="0" t="n">
        <f aca="false">F6*ROUND(INDEX(capt_agencias,1,$B$2)*(u_agencias-F30),0)</f>
        <v>2</v>
      </c>
      <c r="G32" s="0" t="n">
        <f aca="false">G6*ROUND(INDEX(capt_agencias,1,$B$2)*(u_agencias-G30),0)</f>
        <v>2</v>
      </c>
    </row>
    <row r="33" customFormat="false" ht="15" hidden="false" customHeight="false" outlineLevel="0" collapsed="false">
      <c r="A33" s="0" t="s">
        <v>251</v>
      </c>
      <c r="C33" s="0" t="n">
        <f aca="false">C30+C32-C31</f>
        <v>0</v>
      </c>
      <c r="D33" s="0" t="n">
        <f aca="false">D30+D32-D31</f>
        <v>2</v>
      </c>
      <c r="E33" s="0" t="n">
        <f aca="false">E30+E32-E31</f>
        <v>4</v>
      </c>
      <c r="F33" s="0" t="n">
        <f aca="false">F30+F32-F31</f>
        <v>5</v>
      </c>
      <c r="G33" s="0" t="n">
        <f aca="false">G30+G32-G31</f>
        <v>6</v>
      </c>
    </row>
    <row r="34" customFormat="false" ht="15" hidden="false" customHeight="false" outlineLevel="0" collapsed="false">
      <c r="A34" s="0" t="s">
        <v>252</v>
      </c>
      <c r="C34" s="0" t="n">
        <f aca="false">(C30+C33)/2</f>
        <v>0</v>
      </c>
      <c r="D34" s="0" t="n">
        <f aca="false">(D30+D33)/2</f>
        <v>1</v>
      </c>
      <c r="E34" s="0" t="n">
        <f aca="false">(E30+E33)/2</f>
        <v>3</v>
      </c>
      <c r="F34" s="0" t="n">
        <f aca="false">(F30+F33)/2</f>
        <v>4.5</v>
      </c>
      <c r="G34" s="0" t="n">
        <f aca="false">(G30+G33)/2</f>
        <v>5.5</v>
      </c>
    </row>
    <row r="35" customFormat="false" ht="15" hidden="false" customHeight="false" outlineLevel="0" collapsed="false">
      <c r="A35" s="0" t="s">
        <v>253</v>
      </c>
      <c r="C35" s="0" t="n">
        <f aca="false">C5*C6*ROUND(INDEX(capt_organismos,1,$B$2)*u_organismos,0)</f>
        <v>0</v>
      </c>
      <c r="D35" s="0" t="n">
        <f aca="false">D5*D6*ROUND(INDEX(capt_organismos,1,$B$2)*u_organismos,0)</f>
        <v>0</v>
      </c>
      <c r="E35" s="0" t="n">
        <f aca="false">E5*E6*ROUND(INDEX(capt_organismos,1,$B$2)*u_organismos,0)</f>
        <v>2</v>
      </c>
      <c r="F35" s="0" t="n">
        <f aca="false">F5*F6*ROUND(INDEX(capt_organismos,1,$B$2)*u_organismos,0)</f>
        <v>0</v>
      </c>
      <c r="G35" s="0" t="n">
        <f aca="false">G5*G6*ROUND(INDEX(capt_organismos,1,$B$2)*u_organismos,0)</f>
        <v>2</v>
      </c>
    </row>
    <row r="36" customFormat="false" ht="15" hidden="false" customHeight="false" outlineLevel="0" collapsed="false">
      <c r="A36" s="0" t="s">
        <v>254</v>
      </c>
      <c r="C36" s="0" t="n">
        <f aca="false">C14+C19+C24+C29+C34+C35</f>
        <v>0</v>
      </c>
      <c r="D36" s="0" t="n">
        <f aca="false">D14+D19+D24+D29+D34+D35</f>
        <v>7.5</v>
      </c>
      <c r="E36" s="0" t="n">
        <f aca="false">E14+E19+E24+E29+E34+E35</f>
        <v>23</v>
      </c>
      <c r="F36" s="0" t="n">
        <f aca="false">F14+F19+F24+F29+F34+F35</f>
        <v>31.5</v>
      </c>
      <c r="G36" s="0" t="n">
        <f aca="false">G14+G19+G24+G29+G34+G35</f>
        <v>41.5</v>
      </c>
    </row>
    <row r="38" customFormat="false" ht="15" hidden="false" customHeight="false" outlineLevel="0" collapsed="false">
      <c r="A38" s="1" t="s">
        <v>255</v>
      </c>
    </row>
    <row r="39" customFormat="false" ht="15" hidden="false" customHeight="false" outlineLevel="0" collapsed="false">
      <c r="A39" s="0" t="s">
        <v>256</v>
      </c>
      <c r="C39" s="0" t="n">
        <f aca="false">C14*INDEX(precio_medios_grandes,1,$B$2)*meses_anio</f>
        <v>0</v>
      </c>
      <c r="D39" s="0" t="n">
        <f aca="false">D14*INDEX(precio_medios_grandes,1,$B$2)*meses_anio</f>
        <v>15000</v>
      </c>
      <c r="E39" s="0" t="n">
        <f aca="false">E14*INDEX(precio_medios_grandes,1,$B$2)*meses_anio</f>
        <v>45000</v>
      </c>
      <c r="F39" s="0" t="n">
        <f aca="false">F14*INDEX(precio_medios_grandes,1,$B$2)*meses_anio</f>
        <v>75000</v>
      </c>
      <c r="G39" s="0" t="n">
        <f aca="false">G14*INDEX(precio_medios_grandes,1,$B$2)*meses_anio</f>
        <v>105000</v>
      </c>
    </row>
    <row r="40" customFormat="false" ht="15" hidden="false" customHeight="false" outlineLevel="0" collapsed="false">
      <c r="A40" s="0" t="s">
        <v>257</v>
      </c>
      <c r="C40" s="0" t="n">
        <f aca="false">C19*precio_medios_chicos*meses_anio</f>
        <v>0</v>
      </c>
      <c r="D40" s="0" t="n">
        <f aca="false">D19*precio_medios_chicos*meses_anio</f>
        <v>6000</v>
      </c>
      <c r="E40" s="0" t="n">
        <f aca="false">E19*precio_medios_chicos*meses_anio</f>
        <v>15600</v>
      </c>
      <c r="F40" s="0" t="n">
        <f aca="false">F19*precio_medios_chicos*meses_anio</f>
        <v>21600</v>
      </c>
      <c r="G40" s="0" t="n">
        <f aca="false">G19*precio_medios_chicos*meses_anio</f>
        <v>26400</v>
      </c>
    </row>
    <row r="41" customFormat="false" ht="15" hidden="false" customHeight="false" outlineLevel="0" collapsed="false">
      <c r="A41" s="0" t="s">
        <v>258</v>
      </c>
      <c r="C41" s="0" t="n">
        <f aca="false">C24*precio_verificadores*meses_anio</f>
        <v>0</v>
      </c>
      <c r="D41" s="0" t="n">
        <f aca="false">D24*precio_verificadores*meses_anio</f>
        <v>3000</v>
      </c>
      <c r="E41" s="0" t="n">
        <f aca="false">E24*precio_verificadores*meses_anio</f>
        <v>9000</v>
      </c>
      <c r="F41" s="0" t="n">
        <f aca="false">F24*precio_verificadores*meses_anio</f>
        <v>12000</v>
      </c>
      <c r="G41" s="0" t="n">
        <f aca="false">G24*precio_verificadores*meses_anio</f>
        <v>12000</v>
      </c>
    </row>
    <row r="42" customFormat="false" ht="15" hidden="false" customHeight="false" outlineLevel="0" collapsed="false">
      <c r="A42" s="0" t="s">
        <v>259</v>
      </c>
      <c r="C42" s="0" t="n">
        <f aca="false">C29*precio_universidades*meses_anio</f>
        <v>0</v>
      </c>
      <c r="D42" s="0" t="n">
        <f aca="false">D29*precio_universidades*meses_anio</f>
        <v>3600</v>
      </c>
      <c r="E42" s="0" t="n">
        <f aca="false">E29*precio_universidades*meses_anio</f>
        <v>10200</v>
      </c>
      <c r="F42" s="0" t="n">
        <f aca="false">F29*precio_universidades*meses_anio</f>
        <v>16200</v>
      </c>
      <c r="G42" s="0" t="n">
        <f aca="false">G29*precio_universidades*meses_anio</f>
        <v>21000</v>
      </c>
    </row>
    <row r="43" customFormat="false" ht="15" hidden="false" customHeight="false" outlineLevel="0" collapsed="false">
      <c r="A43" s="0" t="s">
        <v>260</v>
      </c>
      <c r="C43" s="0" t="n">
        <f aca="false">C34*INDEX(precio_agencias,1,$B$2)*meses_anio</f>
        <v>0</v>
      </c>
      <c r="D43" s="0" t="n">
        <f aca="false">D34*INDEX(precio_agencias,1,$B$2)*meses_anio</f>
        <v>30000</v>
      </c>
      <c r="E43" s="0" t="n">
        <f aca="false">E34*INDEX(precio_agencias,1,$B$2)*meses_anio</f>
        <v>90000</v>
      </c>
      <c r="F43" s="0" t="n">
        <f aca="false">F34*INDEX(precio_agencias,1,$B$2)*meses_anio</f>
        <v>135000</v>
      </c>
      <c r="G43" s="0" t="n">
        <f aca="false">G34*INDEX(precio_agencias,1,$B$2)*meses_anio</f>
        <v>165000</v>
      </c>
    </row>
    <row r="44" customFormat="false" ht="15" hidden="false" customHeight="false" outlineLevel="0" collapsed="false">
      <c r="A44" s="0" t="s">
        <v>261</v>
      </c>
      <c r="C44" s="0" t="n">
        <f aca="false">C35*INDEX(precio_organismos,1,$B$2)</f>
        <v>0</v>
      </c>
      <c r="D44" s="0" t="n">
        <f aca="false">D35*INDEX(precio_organismos,1,$B$2)</f>
        <v>0</v>
      </c>
      <c r="E44" s="0" t="n">
        <f aca="false">E35*INDEX(precio_organismos,1,$B$2)</f>
        <v>40000</v>
      </c>
      <c r="F44" s="0" t="n">
        <f aca="false">F35*INDEX(precio_organismos,1,$B$2)</f>
        <v>0</v>
      </c>
      <c r="G44" s="0" t="n">
        <f aca="false">G35*INDEX(precio_organismos,1,$B$2)</f>
        <v>40000</v>
      </c>
    </row>
    <row r="45" customFormat="false" ht="15" hidden="false" customHeight="false" outlineLevel="0" collapsed="false">
      <c r="A45" s="0" t="s">
        <v>262</v>
      </c>
      <c r="B45" s="0" t="n">
        <f aca="false">SUM(B39:B44)</f>
        <v>0</v>
      </c>
      <c r="C45" s="0" t="n">
        <f aca="false">SUM(C39:C44)</f>
        <v>0</v>
      </c>
      <c r="D45" s="0" t="n">
        <f aca="false">SUM(D39:D44)</f>
        <v>57600</v>
      </c>
      <c r="E45" s="0" t="n">
        <f aca="false">SUM(E39:E44)</f>
        <v>209800</v>
      </c>
      <c r="F45" s="0" t="n">
        <f aca="false">SUM(F39:F44)</f>
        <v>259800</v>
      </c>
      <c r="G45" s="0" t="n">
        <f aca="false">SUM(G39:G44)</f>
        <v>369400</v>
      </c>
    </row>
    <row r="47" customFormat="false" ht="15" hidden="false" customHeight="false" outlineLevel="0" collapsed="false">
      <c r="A47" s="1" t="s">
        <v>263</v>
      </c>
    </row>
    <row r="48" customFormat="false" ht="15" hidden="false" customHeight="false" outlineLevel="0" collapsed="false">
      <c r="A48" s="0" t="s">
        <v>264</v>
      </c>
      <c r="B48" s="0" t="n">
        <f aca="false">meses_anio_0*sueldo_usd*sueldos_por_anio/meses_anio</f>
        <v>19391.6666666667</v>
      </c>
      <c r="C48" s="0" t="n">
        <f aca="false">sueldo_usd*sueldos_por_anio*(1+ajuste_sueldo)^C$3</f>
        <v>24433.5</v>
      </c>
      <c r="D48" s="0" t="n">
        <f aca="false">sueldo_usd*sueldos_por_anio*(1+ajuste_sueldo)^D$3</f>
        <v>25655.175</v>
      </c>
      <c r="E48" s="0" t="n">
        <f aca="false">sueldo_usd*sueldos_por_anio*(1+ajuste_sueldo)^E$3</f>
        <v>26937.93375</v>
      </c>
      <c r="F48" s="0" t="n">
        <f aca="false">sueldo_usd*sueldos_por_anio*(1+ajuste_sueldo)^F$3</f>
        <v>28284.8304375</v>
      </c>
      <c r="G48" s="0" t="n">
        <f aca="false">sueldo_usd*sueldos_por_anio*(1+ajuste_sueldo)^G$3</f>
        <v>29699.071959375</v>
      </c>
    </row>
    <row r="49" customFormat="false" ht="15" hidden="false" customHeight="false" outlineLevel="0" collapsed="false">
      <c r="A49" s="0" t="s">
        <v>265</v>
      </c>
      <c r="B49" s="0" t="n">
        <f aca="false">inv_infraestructura_0</f>
        <v>168</v>
      </c>
      <c r="C49" s="0" t="n">
        <f aca="false">meses_anio*(infra_base+infra_escalado*C7/ua_escalado)+dominio_anual</f>
        <v>627</v>
      </c>
      <c r="D49" s="0" t="n">
        <f aca="false">meses_anio*(infra_base+infra_escalado*D7/ua_escalado)+dominio_anual</f>
        <v>699</v>
      </c>
      <c r="E49" s="0" t="n">
        <f aca="false">meses_anio*(infra_base+infra_escalado*E7/ua_escalado)+dominio_anual</f>
        <v>843</v>
      </c>
      <c r="F49" s="0" t="n">
        <f aca="false">meses_anio*(infra_base+infra_escalado*F7/ua_escalado)+dominio_anual</f>
        <v>1083</v>
      </c>
      <c r="G49" s="0" t="n">
        <f aca="false">meses_anio*(infra_base+infra_escalado*G7/ua_escalado)+dominio_anual</f>
        <v>1323</v>
      </c>
    </row>
    <row r="50" customFormat="false" ht="15" hidden="false" customHeight="false" outlineLevel="0" collapsed="false">
      <c r="A50" s="0" t="s">
        <v>266</v>
      </c>
      <c r="C50" s="0" t="n">
        <f aca="false">horas_anio*IF(INDEX(hosting_gpu_activo,C$3,$B$2)=1,hosting_gpu,hosting_cpu)</f>
        <v>262.8</v>
      </c>
      <c r="D50" s="0" t="n">
        <f aca="false">horas_anio*IF(INDEX(hosting_gpu_activo,D$3,$B$2)=1,hosting_gpu,hosting_cpu)</f>
        <v>262.8</v>
      </c>
      <c r="E50" s="0" t="n">
        <f aca="false">horas_anio*IF(INDEX(hosting_gpu_activo,E$3,$B$2)=1,hosting_gpu,hosting_cpu)</f>
        <v>4380</v>
      </c>
      <c r="F50" s="0" t="n">
        <f aca="false">horas_anio*IF(INDEX(hosting_gpu_activo,F$3,$B$2)=1,hosting_gpu,hosting_cpu)</f>
        <v>4380</v>
      </c>
      <c r="G50" s="0" t="n">
        <f aca="false">horas_anio*IF(INDEX(hosting_gpu_activo,G$3,$B$2)=1,hosting_gpu,hosting_cpu)</f>
        <v>4380</v>
      </c>
    </row>
    <row r="51" customFormat="false" ht="15" hidden="false" customHeight="false" outlineLevel="0" collapsed="false">
      <c r="A51" s="0" t="s">
        <v>267</v>
      </c>
      <c r="C51" s="0" t="n">
        <f aca="false">INDEX(marketing,C$3,$B$2)</f>
        <v>4000</v>
      </c>
      <c r="D51" s="0" t="n">
        <f aca="false">INDEX(marketing,D$3,$B$2)</f>
        <v>6000</v>
      </c>
      <c r="E51" s="0" t="n">
        <f aca="false">INDEX(marketing,E$3,$B$2)</f>
        <v>8000</v>
      </c>
      <c r="F51" s="0" t="n">
        <f aca="false">INDEX(marketing,F$3,$B$2)</f>
        <v>10000</v>
      </c>
      <c r="G51" s="0" t="n">
        <f aca="false">INDEX(marketing,G$3,$B$2)</f>
        <v>12000</v>
      </c>
    </row>
    <row r="52" customFormat="false" ht="15" hidden="false" customHeight="false" outlineLevel="0" collapsed="false">
      <c r="A52" s="0" t="s">
        <v>268</v>
      </c>
      <c r="B52" s="0" t="n">
        <f aca="false">inv_dominio+inv_chrome_web_store+inv_marca_inpi+inv_legal</f>
        <v>1573</v>
      </c>
    </row>
    <row r="53" customFormat="false" ht="15" hidden="false" customHeight="false" outlineLevel="0" collapsed="false">
      <c r="A53" s="0" t="s">
        <v>269</v>
      </c>
      <c r="C53" s="0" t="n">
        <f aca="false">C7*INDEX(analisis_por_ua_mes,1,$B$2)*meses_anio*(1-INDEX(tasa_reuso,1,$B$2))*INDEX(costo_analisis,1,$B$2)</f>
        <v>5677.9776</v>
      </c>
      <c r="D53" s="0" t="n">
        <f aca="false">D7*INDEX(analisis_por_ua_mes,1,$B$2)*meses_anio*(1-INDEX(tasa_reuso,1,$B$2))*INDEX(costo_analisis,1,$B$2)</f>
        <v>22711.9104</v>
      </c>
      <c r="E53" s="0" t="n">
        <f aca="false">E7*INDEX(analisis_por_ua_mes,1,$B$2)*meses_anio*(1-INDEX(tasa_reuso,1,$B$2))*INDEX(costo_analisis,1,$B$2)</f>
        <v>56779.776</v>
      </c>
      <c r="F53" s="0" t="n">
        <f aca="false">F7*INDEX(analisis_por_ua_mes,1,$B$2)*meses_anio*(1-INDEX(tasa_reuso,1,$B$2))*INDEX(costo_analisis,1,$B$2)</f>
        <v>113559.552</v>
      </c>
      <c r="G53" s="0" t="n">
        <f aca="false">G7*INDEX(analisis_por_ua_mes,1,$B$2)*meses_anio*(1-INDEX(tasa_reuso,1,$B$2))*INDEX(costo_analisis,1,$B$2)</f>
        <v>170339.328</v>
      </c>
    </row>
    <row r="54" customFormat="false" ht="15" hidden="false" customHeight="false" outlineLevel="0" collapsed="false">
      <c r="A54" s="0" t="s">
        <v>270</v>
      </c>
      <c r="C54" s="0" t="n">
        <f aca="false">((C19+C24)*INDEX(consultas_pro_mes,1,$B$2)+(C14+C34)*INDEX(consultas_ent_mes,1,$B$2))*meses_anio*(1-INDEX(tasa_reuso,1,$B$2))*INDEX(costo_analisis,1,$B$2)</f>
        <v>0</v>
      </c>
      <c r="D54" s="0" t="n">
        <f aca="false">((D19+D24)*INDEX(consultas_pro_mes,1,$B$2)+(D14+D34)*INDEX(consultas_ent_mes,1,$B$2))*meses_anio*(1-INDEX(tasa_reuso,1,$B$2))*INDEX(costo_analisis,1,$B$2)</f>
        <v>17033.9328</v>
      </c>
      <c r="E54" s="0" t="n">
        <f aca="false">((E19+E24)*INDEX(consultas_pro_mes,1,$B$2)+(E14+E34)*INDEX(consultas_ent_mes,1,$B$2))*meses_anio*(1-INDEX(tasa_reuso,1,$B$2))*INDEX(costo_analisis,1,$B$2)</f>
        <v>50155.4688</v>
      </c>
      <c r="F54" s="0" t="n">
        <f aca="false">((F19+F24)*INDEX(consultas_pro_mes,1,$B$2)+(F14+F34)*INDEX(consultas_ent_mes,1,$B$2))*meses_anio*(1-INDEX(tasa_reuso,1,$B$2))*INDEX(costo_analisis,1,$B$2)</f>
        <v>76652.6976</v>
      </c>
      <c r="G54" s="0" t="n">
        <f aca="false">((G19+G24)*INDEX(consultas_pro_mes,1,$B$2)+(G14+G34)*INDEX(consultas_ent_mes,1,$B$2))*meses_anio*(1-INDEX(tasa_reuso,1,$B$2))*INDEX(costo_analisis,1,$B$2)</f>
        <v>97471.9488</v>
      </c>
    </row>
    <row r="55" customFormat="false" ht="15" hidden="false" customHeight="false" outlineLevel="0" collapsed="false">
      <c r="A55" s="0" t="s">
        <v>271</v>
      </c>
      <c r="B55" s="0" t="n">
        <f aca="false">SUM(B48:B54)</f>
        <v>21132.6666666667</v>
      </c>
      <c r="C55" s="0" t="n">
        <f aca="false">SUM(C48:C54)</f>
        <v>35001.2776</v>
      </c>
      <c r="D55" s="0" t="n">
        <f aca="false">SUM(D48:D54)</f>
        <v>72362.8182</v>
      </c>
      <c r="E55" s="0" t="n">
        <f aca="false">SUM(E48:E54)</f>
        <v>147096.17855</v>
      </c>
      <c r="F55" s="0" t="n">
        <f aca="false">SUM(F48:F54)</f>
        <v>233960.0800375</v>
      </c>
      <c r="G55" s="0" t="n">
        <f aca="false">SUM(G48:G54)</f>
        <v>315213.348759375</v>
      </c>
    </row>
    <row r="57" customFormat="false" ht="15" hidden="false" customHeight="false" outlineLevel="0" collapsed="false">
      <c r="A57" s="1" t="s">
        <v>272</v>
      </c>
    </row>
    <row r="58" customFormat="false" ht="15" hidden="false" customHeight="false" outlineLevel="0" collapsed="false">
      <c r="A58" s="0" t="s">
        <v>273</v>
      </c>
      <c r="B58" s="0" t="n">
        <f aca="false">B45-B55</f>
        <v>-21132.6666666667</v>
      </c>
      <c r="C58" s="0" t="n">
        <f aca="false">C45-C55</f>
        <v>-35001.2776</v>
      </c>
      <c r="D58" s="0" t="n">
        <f aca="false">D45-D55</f>
        <v>-14762.8182</v>
      </c>
      <c r="E58" s="0" t="n">
        <f aca="false">E45-E55</f>
        <v>62703.82145</v>
      </c>
      <c r="F58" s="0" t="n">
        <f aca="false">F45-F55</f>
        <v>25839.9199625</v>
      </c>
      <c r="G58" s="0" t="n">
        <f aca="false">G45-G55</f>
        <v>54186.651240625</v>
      </c>
    </row>
    <row r="59" customFormat="false" ht="15" hidden="false" customHeight="false" outlineLevel="0" collapsed="false">
      <c r="A59" s="0" t="s">
        <v>274</v>
      </c>
      <c r="B59" s="0" t="n">
        <f aca="false">1/(1+tasa_descuento)^B$3</f>
        <v>1</v>
      </c>
      <c r="C59" s="0" t="n">
        <f aca="false">1/(1+tasa_descuento)^C$3</f>
        <v>0.8</v>
      </c>
      <c r="D59" s="0" t="n">
        <f aca="false">1/(1+tasa_descuento)^D$3</f>
        <v>0.64</v>
      </c>
      <c r="E59" s="0" t="n">
        <f aca="false">1/(1+tasa_descuento)^E$3</f>
        <v>0.512</v>
      </c>
      <c r="F59" s="0" t="n">
        <f aca="false">1/(1+tasa_descuento)^F$3</f>
        <v>0.4096</v>
      </c>
      <c r="G59" s="0" t="n">
        <f aca="false">1/(1+tasa_descuento)^G$3</f>
        <v>0.32768</v>
      </c>
    </row>
    <row r="60" customFormat="false" ht="15" hidden="false" customHeight="false" outlineLevel="0" collapsed="false">
      <c r="A60" s="0" t="s">
        <v>275</v>
      </c>
      <c r="B60" s="0" t="n">
        <f aca="false">B58*B59</f>
        <v>-21132.6666666667</v>
      </c>
      <c r="C60" s="0" t="n">
        <f aca="false">C58*C59</f>
        <v>-28001.02208</v>
      </c>
      <c r="D60" s="0" t="n">
        <f aca="false">D58*D59</f>
        <v>-9448.203648</v>
      </c>
      <c r="E60" s="0" t="n">
        <f aca="false">E58*E59</f>
        <v>32104.3565824</v>
      </c>
      <c r="F60" s="0" t="n">
        <f aca="false">F58*F59</f>
        <v>10584.03121664</v>
      </c>
      <c r="G60" s="0" t="n">
        <f aca="false">G58*G59</f>
        <v>17755.881878528</v>
      </c>
    </row>
    <row r="61" customFormat="false" ht="15" hidden="false" customHeight="false" outlineLevel="0" collapsed="false">
      <c r="A61" s="0" t="s">
        <v>276</v>
      </c>
      <c r="B61" s="0" t="n">
        <f aca="false">B58</f>
        <v>-21132.6666666667</v>
      </c>
      <c r="C61" s="0" t="n">
        <f aca="false">B61+C58</f>
        <v>-56133.9442666667</v>
      </c>
      <c r="D61" s="0" t="n">
        <f aca="false">C61+D58</f>
        <v>-70896.7624666667</v>
      </c>
      <c r="E61" s="0" t="n">
        <f aca="false">D61+E58</f>
        <v>-8192.94101666668</v>
      </c>
      <c r="F61" s="0" t="n">
        <f aca="false">E61+F58</f>
        <v>17646.9789458333</v>
      </c>
      <c r="G61" s="0" t="n">
        <f aca="false">F61+G58</f>
        <v>71833.6301864583</v>
      </c>
    </row>
    <row r="62" customFormat="false" ht="15" hidden="false" customHeight="false" outlineLevel="0" collapsed="false">
      <c r="A62" s="0" t="s">
        <v>277</v>
      </c>
      <c r="B62" s="0" t="n">
        <f aca="false">B60</f>
        <v>-21132.6666666667</v>
      </c>
      <c r="C62" s="0" t="n">
        <f aca="false">B62+C60</f>
        <v>-49133.6887466667</v>
      </c>
      <c r="D62" s="0" t="n">
        <f aca="false">C62+D60</f>
        <v>-58581.8923946667</v>
      </c>
      <c r="E62" s="0" t="n">
        <f aca="false">D62+E60</f>
        <v>-26477.5358122667</v>
      </c>
      <c r="F62" s="0" t="n">
        <f aca="false">E62+F60</f>
        <v>-15893.5045956267</v>
      </c>
      <c r="G62" s="0" t="n">
        <f aca="false">F62+G60</f>
        <v>1862.37728290134</v>
      </c>
    </row>
    <row r="63" customFormat="false" ht="15" hidden="false" customHeight="false" outlineLevel="0" collapsed="false">
      <c r="A63" s="0" t="s">
        <v>278</v>
      </c>
      <c r="C63" s="0" t="str">
        <f aca="false">IF(AND(B61&lt;0,C61&gt;=0),C$3-1+(-B61)/C58,"")</f>
        <v/>
      </c>
      <c r="D63" s="0" t="str">
        <f aca="false">IF(AND(C61&lt;0,D61&gt;=0),D$3-1+(-C61)/D58,"")</f>
        <v/>
      </c>
      <c r="E63" s="0" t="str">
        <f aca="false">IF(AND(D61&lt;0,E61&gt;=0),E$3-1+(-D61)/E58,"")</f>
        <v/>
      </c>
      <c r="F63" s="0" t="n">
        <f aca="false">IF(AND(E61&lt;0,F61&gt;=0),F$3-1+(-E61)/F58,"")</f>
        <v>3.31706526291709</v>
      </c>
      <c r="G63" s="0" t="str">
        <f aca="false">IF(AND(F61&lt;0,G61&gt;=0),G$3-1+(-F61)/G58,"")</f>
        <v/>
      </c>
    </row>
    <row r="64" customFormat="false" ht="15" hidden="false" customHeight="false" outlineLevel="0" collapsed="false">
      <c r="A64" s="0" t="s">
        <v>279</v>
      </c>
      <c r="C64" s="0" t="str">
        <f aca="false">IF(AND(B62&lt;0,C62&gt;=0),C$3-1+(-B62)/C60,"")</f>
        <v/>
      </c>
      <c r="D64" s="0" t="str">
        <f aca="false">IF(AND(C62&lt;0,D62&gt;=0),D$3-1+(-C62)/D60,"")</f>
        <v/>
      </c>
      <c r="E64" s="0" t="str">
        <f aca="false">IF(AND(D62&lt;0,E62&gt;=0),E$3-1+(-D62)/E60,"")</f>
        <v/>
      </c>
      <c r="F64" s="0" t="str">
        <f aca="false">IF(AND(E62&lt;0,F62&gt;=0),F$3-1+(-E62)/F60,"")</f>
        <v/>
      </c>
      <c r="G64" s="0" t="n">
        <f aca="false">IF(AND(F62&lt;0,G62&gt;=0),G$3-1+(-F62)/G60,"")</f>
        <v>4.89511209324086</v>
      </c>
    </row>
    <row r="66" customFormat="false" ht="15" hidden="false" customHeight="false" outlineLevel="0" collapsed="false">
      <c r="A66" s="1" t="s">
        <v>280</v>
      </c>
    </row>
    <row r="67" customFormat="false" ht="15" hidden="false" customHeight="false" outlineLevel="0" collapsed="false">
      <c r="A67" s="0" t="s">
        <v>281</v>
      </c>
      <c r="B67" s="0" t="n">
        <f aca="false">SUM(B60:G60)</f>
        <v>1862.37728290133</v>
      </c>
    </row>
    <row r="68" customFormat="false" ht="15" hidden="false" customHeight="false" outlineLevel="0" collapsed="false">
      <c r="A68" s="0" t="s">
        <v>282</v>
      </c>
      <c r="B68" s="2" t="n">
        <f aca="false">IFERROR(IRR(B58:G58),"no definida")</f>
        <v>0.26328384883344</v>
      </c>
    </row>
    <row r="69" customFormat="false" ht="15" hidden="false" customHeight="false" outlineLevel="0" collapsed="false">
      <c r="A69" s="0" t="s">
        <v>283</v>
      </c>
      <c r="B69" s="0" t="n">
        <f aca="false">IF(COUNT(C63:G63)=0,"no se recupera",MIN(C63:G63))</f>
        <v>3.31706526291709</v>
      </c>
    </row>
    <row r="70" customFormat="false" ht="15" hidden="false" customHeight="false" outlineLevel="0" collapsed="false">
      <c r="A70" s="0" t="s">
        <v>284</v>
      </c>
      <c r="B70" s="0" t="n">
        <f aca="false">IF(COUNT(C64:G64)=0,"no se recupera",MIN(C64:G64))</f>
        <v>4.89511209324086</v>
      </c>
    </row>
    <row r="71" customFormat="false" ht="15" hidden="false" customHeight="false" outlineLevel="0" collapsed="false">
      <c r="A71" s="0" t="s">
        <v>285</v>
      </c>
      <c r="B71" s="0" t="n">
        <f aca="false">IFERROR(G45/G36,"no definido")</f>
        <v>8901.20481927711</v>
      </c>
    </row>
    <row r="72" customFormat="false" ht="15" hidden="false" customHeight="false" outlineLevel="0" collapsed="false">
      <c r="A72" s="0" t="s">
        <v>286</v>
      </c>
      <c r="B72" s="0" t="n">
        <f aca="false">IFERROR(ROUNDUP(G55/B71,0),"no definido")</f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2026-09-28T23:34:01Z</dcterms:created>
  <dc:creator>openpyxl</dc:creator>
  <dc:description/>
  <dc:language>es-ES</dc:language>
  <cp:lastModifiedBy/>
  <dcterms:modified xsi:type="dcterms:W3CDTF">2026-09-28T23:34:01Z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